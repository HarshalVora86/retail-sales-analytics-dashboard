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F:\Excel\Final PR\"/>
    </mc:Choice>
  </mc:AlternateContent>
  <xr:revisionPtr revIDLastSave="0" documentId="13_ncr:1_{52786B4B-F31D-4A7F-8672-5A9A0B2D1ED3}" xr6:coauthVersionLast="47" xr6:coauthVersionMax="47" xr10:uidLastSave="{00000000-0000-0000-0000-000000000000}"/>
  <bookViews>
    <workbookView xWindow="-108" yWindow="-108" windowWidth="23256" windowHeight="12456" xr2:uid="{00000000-000D-0000-FFFF-FFFF00000000}"/>
  </bookViews>
  <sheets>
    <sheet name="Dashboard" sheetId="7" r:id="rId1"/>
    <sheet name="Analysis" sheetId="4" r:id="rId2"/>
    <sheet name="what-if" sheetId="5" r:id="rId3"/>
    <sheet name="Scenario Summary" sheetId="8" r:id="rId4"/>
    <sheet name="Regression" sheetId="10" r:id="rId5"/>
    <sheet name="Visualizations" sheetId="6" r:id="rId6"/>
    <sheet name="Insights" sheetId="3" r:id="rId7"/>
    <sheet name="Raw data" sheetId="2" r:id="rId8"/>
  </sheets>
  <definedNames>
    <definedName name="NativeTimeline_Date">#N/A</definedName>
    <definedName name="Slicer_Category1">#N/A</definedName>
    <definedName name="Slicer_Customer_Segment1">#N/A</definedName>
    <definedName name="Slicer_Region">#N/A</definedName>
  </definedNames>
  <calcPr calcId="191028"/>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 i="5" l="1"/>
  <c r="C16" i="3"/>
  <c r="C15" i="3"/>
  <c r="C14" i="3"/>
  <c r="C13" i="3"/>
  <c r="C12" i="3"/>
  <c r="C8" i="3" a="1"/>
  <c r="C8" i="3" s="1"/>
  <c r="C7" i="3"/>
  <c r="C6" i="3"/>
  <c r="C4" i="3"/>
  <c r="C5" i="3"/>
  <c r="B4" i="4"/>
  <c r="B16" i="5"/>
  <c r="H10" i="7"/>
  <c r="J10" i="7" s="1"/>
  <c r="H9" i="7"/>
  <c r="J9" i="7" s="1"/>
  <c r="H8" i="7"/>
  <c r="J8" i="7" s="1"/>
  <c r="H7" i="7"/>
  <c r="J7" i="7" s="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B233" i="4"/>
  <c r="C214" i="4"/>
  <c r="D214" i="4" s="1"/>
  <c r="C215" i="4"/>
  <c r="D215" i="4" s="1"/>
  <c r="C216" i="4"/>
  <c r="D216" i="4" s="1"/>
  <c r="C217" i="4"/>
  <c r="D217" i="4" s="1"/>
  <c r="C218" i="4"/>
  <c r="D218" i="4" s="1"/>
  <c r="C219" i="4"/>
  <c r="D219" i="4" s="1"/>
  <c r="C220" i="4"/>
  <c r="D220" i="4" s="1"/>
  <c r="C221" i="4"/>
  <c r="D221" i="4" s="1"/>
  <c r="C222" i="4"/>
  <c r="D222" i="4" s="1"/>
  <c r="C223" i="4"/>
  <c r="D223" i="4" s="1"/>
  <c r="C224" i="4"/>
  <c r="D224" i="4" s="1"/>
  <c r="C225" i="4"/>
  <c r="D225" i="4" s="1"/>
  <c r="C226" i="4"/>
  <c r="D226" i="4" s="1"/>
  <c r="C227" i="4"/>
  <c r="D227" i="4" s="1"/>
  <c r="C228" i="4"/>
  <c r="D228" i="4" s="1"/>
  <c r="C229" i="4"/>
  <c r="D229" i="4" s="1"/>
  <c r="C230" i="4"/>
  <c r="D230" i="4" s="1"/>
  <c r="A214" i="4"/>
  <c r="B214" i="4" s="1"/>
  <c r="A215" i="4"/>
  <c r="B215" i="4" s="1"/>
  <c r="A216" i="4"/>
  <c r="B216" i="4" s="1"/>
  <c r="A217" i="4"/>
  <c r="B217" i="4" s="1"/>
  <c r="A218" i="4"/>
  <c r="B218" i="4" s="1"/>
  <c r="A219" i="4"/>
  <c r="B219" i="4" s="1"/>
  <c r="A220" i="4"/>
  <c r="B220" i="4" s="1"/>
  <c r="A221" i="4"/>
  <c r="B221" i="4" s="1"/>
  <c r="A222" i="4"/>
  <c r="B222" i="4" s="1"/>
  <c r="A223" i="4"/>
  <c r="B223" i="4" s="1"/>
  <c r="A224" i="4"/>
  <c r="B224" i="4" s="1"/>
  <c r="A225" i="4"/>
  <c r="B225" i="4" s="1"/>
  <c r="A226" i="4"/>
  <c r="B226" i="4" s="1"/>
  <c r="A227" i="4"/>
  <c r="B227" i="4" s="1"/>
  <c r="A228" i="4"/>
  <c r="B228" i="4" s="1"/>
  <c r="A229" i="4"/>
  <c r="B229" i="4" s="1"/>
  <c r="A230" i="4"/>
  <c r="B230" i="4" s="1"/>
  <c r="C213" i="4"/>
  <c r="D213" i="4" s="1"/>
  <c r="A213" i="4"/>
  <c r="B213" i="4" s="1"/>
  <c r="A169" i="4" a="1"/>
  <c r="A169" i="4"/>
  <c r="B169" i="4" a="1"/>
  <c r="B169" i="4"/>
  <c r="C170" i="4"/>
  <c r="C171" i="4"/>
  <c r="C172" i="4"/>
  <c r="C174" i="4"/>
  <c r="C175" i="4"/>
  <c r="C176" i="4"/>
  <c r="C178" i="4"/>
  <c r="C179" i="4"/>
  <c r="C180" i="4"/>
  <c r="C181" i="4"/>
  <c r="C182" i="4"/>
  <c r="C183" i="4"/>
  <c r="C184" i="4"/>
  <c r="C185" i="4"/>
  <c r="C186" i="4"/>
  <c r="C187" i="4"/>
  <c r="C188" i="4"/>
  <c r="C189" i="4"/>
  <c r="C191" i="4"/>
  <c r="C193" i="4"/>
  <c r="C194" i="4"/>
  <c r="C195" i="4"/>
  <c r="C196" i="4"/>
  <c r="C198" i="4"/>
  <c r="C199" i="4"/>
  <c r="A16" i="4" a="1"/>
  <c r="A16" i="4"/>
  <c r="B13" i="4" a="1"/>
  <c r="B13" i="4"/>
  <c r="B11" i="4" a="1"/>
  <c r="B11" i="4"/>
  <c r="B10" i="4"/>
  <c r="B9" i="4"/>
  <c r="B8" i="4"/>
  <c r="B5" i="4"/>
  <c r="B3" i="4"/>
  <c r="B2" i="4"/>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 r="D15" i="3" l="1"/>
  <c r="D16" i="3"/>
  <c r="D14" i="3"/>
  <c r="D13" i="3"/>
  <c r="D12" i="3"/>
  <c r="C169" i="4"/>
  <c r="B40" i="4"/>
  <c r="C40" i="4" s="1"/>
  <c r="B41" i="4"/>
  <c r="C41" i="4" s="1"/>
  <c r="B42" i="4"/>
  <c r="C42" i="4" s="1"/>
  <c r="B43" i="4"/>
  <c r="C43" i="4" s="1"/>
  <c r="B44" i="4"/>
  <c r="C44" i="4" s="1"/>
  <c r="B45" i="4"/>
  <c r="C45" i="4" s="1"/>
  <c r="B46" i="4"/>
  <c r="C46" i="4" s="1"/>
  <c r="B47" i="4"/>
  <c r="C47" i="4" s="1"/>
  <c r="B48" i="4"/>
  <c r="C48" i="4" s="1"/>
  <c r="B49" i="4"/>
  <c r="C49" i="4" s="1"/>
  <c r="B50" i="4"/>
  <c r="C50" i="4" s="1"/>
  <c r="B51" i="4"/>
  <c r="C51" i="4" s="1"/>
  <c r="B52" i="4"/>
  <c r="C52" i="4" s="1"/>
  <c r="B53" i="4"/>
  <c r="C53" i="4" s="1"/>
  <c r="B54" i="4"/>
  <c r="C54" i="4" s="1"/>
  <c r="B55" i="4"/>
  <c r="C55" i="4" s="1"/>
  <c r="B56" i="4"/>
  <c r="C56" i="4" s="1"/>
  <c r="B57" i="4"/>
  <c r="C57" i="4" s="1"/>
  <c r="B58" i="4"/>
  <c r="C58" i="4" s="1"/>
  <c r="B59" i="4"/>
  <c r="C59" i="4" s="1"/>
  <c r="B60" i="4"/>
  <c r="C60" i="4" s="1"/>
  <c r="B61" i="4"/>
  <c r="C61" i="4" s="1"/>
  <c r="B62" i="4"/>
  <c r="C62" i="4" s="1"/>
  <c r="B63" i="4"/>
  <c r="C63" i="4" s="1"/>
  <c r="B64" i="4"/>
  <c r="C64" i="4" s="1"/>
  <c r="B65" i="4"/>
  <c r="C65" i="4" s="1"/>
  <c r="B66" i="4"/>
  <c r="C66" i="4" s="1"/>
  <c r="B27" i="4"/>
  <c r="C27" i="4" s="1"/>
  <c r="B28" i="4"/>
  <c r="C28" i="4" s="1"/>
  <c r="B29" i="4"/>
  <c r="C29" i="4" s="1"/>
  <c r="B30" i="4"/>
  <c r="C30" i="4" s="1"/>
  <c r="B31" i="4"/>
  <c r="C31" i="4" s="1"/>
  <c r="B32" i="4"/>
  <c r="C32" i="4" s="1"/>
  <c r="B33" i="4"/>
  <c r="C33" i="4" s="1"/>
  <c r="B34" i="4"/>
  <c r="C34" i="4" s="1"/>
  <c r="B35" i="4"/>
  <c r="C35" i="4" s="1"/>
  <c r="B36" i="4"/>
  <c r="C36" i="4" s="1"/>
  <c r="B37" i="4"/>
  <c r="C37" i="4" s="1"/>
  <c r="B38" i="4"/>
  <c r="C38" i="4" s="1"/>
  <c r="B39" i="4"/>
  <c r="C39" i="4" s="1"/>
  <c r="B19" i="4"/>
  <c r="C19" i="4" s="1"/>
  <c r="B20" i="4"/>
  <c r="C20" i="4" s="1"/>
  <c r="B21" i="4"/>
  <c r="C21" i="4" s="1"/>
  <c r="B22" i="4"/>
  <c r="C22" i="4" s="1"/>
  <c r="B23" i="4"/>
  <c r="C23" i="4" s="1"/>
  <c r="B24" i="4"/>
  <c r="C24" i="4" s="1"/>
  <c r="B25" i="4"/>
  <c r="C25" i="4" s="1"/>
  <c r="B26" i="4"/>
  <c r="C26" i="4" s="1"/>
  <c r="B18" i="4"/>
  <c r="C18" i="4" s="1"/>
  <c r="B17" i="4"/>
  <c r="C17" i="4" s="1"/>
  <c r="A71" i="4" a="1"/>
  <c r="A71" i="4" s="1"/>
  <c r="C173" i="4"/>
  <c r="C177" i="4"/>
  <c r="C190" i="4"/>
  <c r="C192" i="4"/>
  <c r="C197" i="4"/>
  <c r="C200" i="4"/>
  <c r="C201" i="4"/>
  <c r="C202" i="4"/>
  <c r="C203" i="4"/>
  <c r="C204" i="4"/>
  <c r="C205" i="4"/>
  <c r="C206" i="4"/>
  <c r="C207" i="4"/>
  <c r="C208" i="4"/>
  <c r="C209"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<sst xmlns="http://schemas.openxmlformats.org/spreadsheetml/2006/main" count="2443" uniqueCount="520">
  <si>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</si>
  <si>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</si>
  <si>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</si>
  <si>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</si>
  <si>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</si>
  <si>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</si>
  <si>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</si>
  <si>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</si>
  <si>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</si>
  <si>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</si>
  <si>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</si>
  <si>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</si>
  <si>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</si>
  <si>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</si>
  <si>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Days as customer</t>
  </si>
  <si>
    <t>Transaction days</t>
  </si>
  <si>
    <t>Month-Year</t>
  </si>
  <si>
    <t>Short date</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</si>
  <si>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</si>
  <si>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</si>
  <si>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</si>
  <si>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</si>
  <si>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</si>
  <si>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</si>
  <si>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</si>
  <si>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</si>
  <si>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</si>
  <si>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</si>
  <si>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</si>
  <si>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</si>
  <si>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</si>
  <si>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</si>
  <si>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</si>
  <si>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</si>
  <si>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</si>
  <si>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</si>
  <si>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</si>
  <si>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</si>
  <si>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</si>
  <si>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</si>
  <si>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</si>
  <si>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</si>
  <si>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</si>
  <si>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</si>
  <si>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</si>
  <si>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</si>
  <si>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</si>
  <si>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</si>
  <si>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</si>
  <si>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</si>
  <si>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</si>
  <si>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</si>
  <si>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</si>
  <si>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</si>
  <si>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</si>
  <si>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</si>
  <si>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</si>
  <si>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</si>
  <si>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</si>
  <si>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</si>
  <si>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</si>
  <si>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</si>
  <si>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</si>
  <si>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</si>
  <si>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</si>
  <si>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</si>
  <si>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</si>
  <si>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</si>
  <si>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</si>
  <si>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</si>
  <si>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</si>
  <si>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</si>
  <si>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</si>
  <si>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</si>
  <si>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</si>
  <si>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</si>
  <si>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</si>
  <si>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</si>
  <si>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</si>
  <si>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</si>
  <si>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</si>
  <si>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</si>
  <si>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</si>
  <si>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</si>
  <si>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</si>
  <si>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</si>
  <si>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</si>
  <si>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</si>
  <si>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</si>
  <si>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</si>
  <si>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</si>
  <si>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</si>
  <si>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</si>
  <si>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</si>
  <si>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</si>
  <si>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</si>
  <si>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</si>
  <si>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</si>
  <si>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</si>
  <si>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</si>
  <si>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</si>
  <si>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</si>
  <si>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</si>
  <si>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</si>
  <si>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</si>
  <si>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</si>
  <si>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</si>
  <si>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</si>
  <si>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</si>
  <si>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</si>
  <si>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</si>
  <si>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</si>
  <si>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</si>
  <si>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</si>
  <si>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</si>
  <si>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</si>
  <si>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</si>
  <si>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</si>
  <si>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</si>
  <si>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</si>
  <si>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</si>
  <si>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</si>
  <si>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</si>
  <si>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</si>
  <si>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</si>
  <si>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</si>
  <si>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</si>
  <si>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</si>
  <si>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</si>
  <si>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</si>
  <si>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</si>
  <si>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</si>
  <si>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</si>
  <si>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</si>
  <si>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</si>
  <si>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</si>
  <si>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</si>
  <si>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</si>
  <si>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</si>
  <si>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</si>
  <si>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</si>
  <si>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</si>
  <si>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</si>
  <si>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</si>
  <si>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</si>
  <si>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</si>
  <si>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</si>
  <si>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</si>
  <si>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</si>
  <si>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</si>
  <si>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</si>
  <si>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</si>
  <si>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</si>
  <si>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</si>
  <si>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</si>
  <si>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</si>
  <si>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</si>
  <si>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</si>
  <si>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</si>
  <si>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</si>
  <si>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</si>
  <si>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</si>
  <si>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</si>
  <si>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</si>
  <si>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</si>
  <si>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</si>
  <si>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</si>
  <si>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</si>
  <si>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</si>
  <si>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</si>
  <si>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</si>
  <si>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</si>
  <si>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</si>
  <si>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</si>
  <si>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</si>
  <si>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</si>
  <si>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</si>
  <si>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</si>
  <si>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</si>
  <si>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</si>
  <si>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</si>
  <si>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</si>
  <si>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</si>
  <si>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</si>
  <si>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</si>
  <si>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</si>
  <si>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</si>
  <si>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</si>
  <si>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</si>
  <si>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</si>
  <si>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</si>
  <si>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</si>
  <si>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</si>
  <si>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</si>
  <si>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</si>
  <si>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</si>
  <si>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</si>
  <si>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</si>
  <si>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</si>
  <si>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</si>
  <si>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</si>
  <si>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</si>
  <si>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</si>
  <si>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</si>
  <si>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</si>
  <si>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</si>
  <si>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</si>
  <si>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</si>
  <si>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</si>
  <si>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</si>
  <si>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</si>
  <si>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</si>
  <si>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</si>
  <si>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</si>
  <si>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</si>
  <si>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</si>
  <si>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</si>
  <si>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</si>
  <si>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</si>
  <si>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</si>
  <si>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</si>
  <si>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</si>
  <si>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</si>
  <si>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</si>
  <si>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</si>
  <si>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</si>
  <si>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</si>
  <si>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</si>
  <si>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</si>
  <si>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</si>
  <si>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</si>
  <si>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</si>
  <si>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</si>
  <si>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</si>
  <si>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</si>
  <si>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</si>
  <si>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</si>
  <si>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</si>
  <si>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</si>
  <si>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</si>
  <si>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</si>
  <si>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</si>
  <si>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</si>
  <si>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</si>
  <si>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</si>
  <si>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</si>
  <si>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</si>
  <si>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</si>
  <si>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</si>
  <si>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</si>
  <si>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</si>
  <si>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</si>
  <si>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</si>
  <si>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</si>
  <si>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</si>
  <si>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</si>
  <si>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</si>
  <si>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</si>
  <si>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</si>
  <si>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</si>
  <si>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</si>
  <si>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</si>
  <si>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</si>
  <si>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</si>
  <si>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</si>
  <si>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</si>
  <si>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</si>
  <si>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</si>
  <si>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</si>
  <si>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</si>
  <si>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</si>
  <si>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</si>
  <si>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</si>
  <si>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</si>
  <si>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</si>
  <si>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</si>
  <si>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</si>
  <si>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</si>
  <si>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</si>
  <si>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</si>
  <si>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</si>
  <si>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</si>
  <si>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</si>
  <si>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</si>
  <si>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</si>
  <si>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</si>
  <si>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</si>
  <si>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</si>
  <si>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</si>
  <si>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</si>
  <si>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</si>
  <si>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</si>
  <si>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</si>
  <si>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</si>
  <si>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</si>
  <si>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</si>
  <si>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</si>
  <si>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</si>
  <si>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</si>
  <si>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</si>
  <si>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</si>
  <si>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</si>
  <si>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</si>
  <si>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</si>
  <si>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</si>
  <si>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</si>
  <si>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</si>
  <si>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</si>
  <si>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</si>
  <si>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</si>
  <si>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</si>
  <si>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</si>
  <si>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</si>
  <si>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</si>
  <si>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</si>
  <si>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</si>
  <si>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</si>
  <si>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</si>
  <si>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</si>
  <si>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</si>
  <si>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</si>
  <si>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</si>
  <si>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</si>
  <si>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</si>
  <si>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</si>
  <si>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</si>
  <si>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</si>
  <si>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</si>
  <si>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</si>
  <si>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</si>
  <si>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</si>
  <si>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</si>
  <si>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</si>
  <si>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</si>
  <si>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</si>
  <si>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</si>
  <si>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</si>
  <si>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</si>
  <si>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</si>
  <si>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</si>
  <si>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</si>
  <si>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</si>
  <si>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</si>
  <si>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</si>
  <si>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</si>
  <si>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</si>
  <si>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</si>
  <si>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</si>
  <si>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</si>
  <si>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</si>
  <si>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</si>
  <si>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</si>
  <si>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</si>
  <si>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</si>
  <si>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</si>
  <si>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</si>
  <si>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</si>
  <si>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</si>
  <si>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</si>
  <si>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</si>
  <si>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</si>
  <si>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</si>
  <si>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</si>
  <si>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</si>
  <si>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</si>
  <si>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</si>
  <si>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</si>
  <si>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</si>
  <si>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</si>
  <si>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</si>
  <si>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</si>
  <si>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</si>
  <si>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</si>
  <si>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</si>
  <si>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</si>
  <si>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</si>
  <si>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</si>
  <si>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</si>
  <si>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</si>
  <si>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</si>
  <si>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</si>
  <si>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</si>
  <si>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</si>
  <si>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</si>
  <si>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</si>
  <si>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</si>
  <si>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</si>
  <si>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</si>
  <si>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</si>
  <si>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</si>
  <si>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</si>
  <si>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</si>
  <si>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</si>
  <si>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</si>
  <si>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</si>
  <si>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</si>
  <si>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</si>
  <si>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</si>
  <si>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</si>
  <si>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</si>
  <si>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</si>
  <si>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</si>
  <si>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</si>
  <si>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Date &amp; time Functions</t>
  </si>
  <si>
    <t xml:space="preserve">Today's date </t>
  </si>
  <si>
    <t xml:space="preserve">Current date &amp; time </t>
  </si>
  <si>
    <t>Days since first transaction in dataset</t>
  </si>
  <si>
    <t xml:space="preserve">Last day of current month </t>
  </si>
  <si>
    <t>Key summary metrics</t>
  </si>
  <si>
    <t>Total revenue</t>
  </si>
  <si>
    <t>Total transaction</t>
  </si>
  <si>
    <t xml:space="preserve">Average order value </t>
  </si>
  <si>
    <t xml:space="preserve">Unique customers </t>
  </si>
  <si>
    <t>Most frequently purchased product</t>
  </si>
  <si>
    <t xml:space="preserve">High value customers </t>
  </si>
  <si>
    <t>Total spent</t>
  </si>
  <si>
    <t>Segment</t>
  </si>
  <si>
    <t>Filter function</t>
  </si>
  <si>
    <t>Premium segment customers</t>
  </si>
  <si>
    <t>Compare two lists</t>
  </si>
  <si>
    <t>North region customers</t>
  </si>
  <si>
    <t>Premium customers</t>
  </si>
  <si>
    <t>Matched</t>
  </si>
  <si>
    <t>Text functions</t>
  </si>
  <si>
    <t xml:space="preserve">Customer name </t>
  </si>
  <si>
    <t>Short name</t>
  </si>
  <si>
    <t xml:space="preserve">Product name </t>
  </si>
  <si>
    <t>Product Short Code</t>
  </si>
  <si>
    <t>Timestamp</t>
  </si>
  <si>
    <t xml:space="preserve">Timestamp generated </t>
  </si>
  <si>
    <t xml:space="preserve">What if analysis </t>
  </si>
  <si>
    <t>Scenario manager</t>
  </si>
  <si>
    <t xml:space="preserve">Unit price </t>
  </si>
  <si>
    <t xml:space="preserve">Quantity </t>
  </si>
  <si>
    <t>Discount(%)</t>
  </si>
  <si>
    <t>Projected revenue</t>
  </si>
  <si>
    <t xml:space="preserve">Revenue by region </t>
  </si>
  <si>
    <t>Sum of Total_Amount</t>
  </si>
  <si>
    <t>Grand Total</t>
  </si>
  <si>
    <t>Monthly revenue</t>
  </si>
  <si>
    <t>2024-04</t>
  </si>
  <si>
    <t>2024-05</t>
  </si>
  <si>
    <t>2024-06</t>
  </si>
  <si>
    <t>2024-07</t>
  </si>
  <si>
    <t>2024-08</t>
  </si>
  <si>
    <t>2024-09</t>
  </si>
  <si>
    <t>2024-10</t>
  </si>
  <si>
    <t>2024-11</t>
  </si>
  <si>
    <t>2024-12</t>
  </si>
  <si>
    <t>2025-01</t>
  </si>
  <si>
    <t>2025-02</t>
  </si>
  <si>
    <t>2025-03</t>
  </si>
  <si>
    <t>2025-04</t>
  </si>
  <si>
    <t>Revenue by category</t>
  </si>
  <si>
    <t>Data Intelligence Dashboard</t>
  </si>
  <si>
    <t>KPI Indicators</t>
  </si>
  <si>
    <t>KPI</t>
  </si>
  <si>
    <t>Actual</t>
  </si>
  <si>
    <t>Target</t>
  </si>
  <si>
    <t>Status</t>
  </si>
  <si>
    <t>Total Revenue</t>
  </si>
  <si>
    <t>Average Order Value</t>
  </si>
  <si>
    <t>Total Transactions</t>
  </si>
  <si>
    <t>Unique Customers</t>
  </si>
  <si>
    <t>$B$4</t>
  </si>
  <si>
    <t>$B$5</t>
  </si>
  <si>
    <t>$B$6</t>
  </si>
  <si>
    <t>$B$7</t>
  </si>
  <si>
    <t>Best case</t>
  </si>
  <si>
    <t>Base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</si>
  <si>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</si>
  <si>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</si>
  <si>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</si>
  <si>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</si>
  <si>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</si>
  <si>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</si>
  <si>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</si>
  <si>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</si>
  <si>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Goal seek</t>
  </si>
  <si>
    <t xml:space="preserve">Quantity needed </t>
  </si>
  <si>
    <t xml:space="preserve">Target revenue </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</si>
  <si>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</si>
  <si>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</si>
  <si>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</si>
  <si>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</si>
  <si>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</si>
  <si>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</si>
  <si>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</si>
  <si>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</si>
  <si>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</si>
  <si>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</si>
  <si>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</si>
  <si>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</si>
  <si>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</si>
  <si>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</si>
  <si>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</si>
  <si>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</si>
  <si>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</si>
  <si>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</si>
  <si>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</si>
  <si>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</si>
  <si>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</si>
  <si>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</si>
  <si>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</si>
  <si>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</si>
  <si>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</si>
  <si>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Data Intelligence Dashboard — Final Report &amp; Insights</t>
  </si>
  <si>
    <t>Key Metrics Summary</t>
  </si>
  <si>
    <t>Most Sold Product</t>
  </si>
  <si>
    <t>Regional Sales Analysis</t>
  </si>
  <si>
    <t>% of Total</t>
  </si>
  <si>
    <t>Key Business Insights &amp; Storytelling</t>
  </si>
  <si>
    <t>East region generates highest revenue at ₹59,288 — contributing 25.9% of total revenue</t>
  </si>
  <si>
    <t>Electronics is the top performing category with ₹1,71,756 revenue — 75% of total sales</t>
  </si>
  <si>
    <t>Mark Carter is the highest spending customer with ₹15,659 in total purchases</t>
  </si>
  <si>
    <t>Bookshelf is the most frequently purchased product across all transactions</t>
  </si>
  <si>
    <t>Average order value of ₹916.77 suggests customers prefer mid to high range products</t>
  </si>
  <si>
    <t>Regression analysis shows Unit Price explains 69.8% of revenue variation — strong predictor</t>
  </si>
  <si>
    <t>Premium segment customers account for majority of high value transactions</t>
  </si>
  <si>
    <t>Goal Seek analysis shows 1112 units needed to achieve ₹50,000 revenue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</si>
</sst>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409]#,##0.00"/>
    <numFmt numFmtId="166" formatCode="dd/mm/yyyy\ hh:mm:ss"/>
    <numFmt numFmtId="167" formatCode="&quot;₹&quot;\ #,##0.00"/>
  </numFmts>
  <fonts count="1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theme="0"/>
      <name val="Calibri"/>
      <family val="2"/>
      <scheme val="minor"/>
    </font>
    <font>
      <b/>
      <sz val="26"/>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10"/>
      <color theme="1"/>
      <name val="Arial Unicode MS"/>
    </font>
    <font>
      <b/>
      <sz val="10"/>
      <color theme="1"/>
      <name val="Arial Unicode MS"/>
    </font>
  </fonts>
  <fills count="7">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90">
    <xf numFmtId="0" fontId="0" fillId="0" borderId="0" xfId="0" applyFont="1" applyAlignment="1"/>
    <xf numFmtId="0" fontId="4" fillId="0" borderId="0" xfId="0" applyFont="1" applyAlignment="1"/>
    <xf numFmtId="0" fontId="4" fillId="0" borderId="0" xfId="0" applyFont="1"/>
    <xf numFmtId="0" fontId="0" fillId="0" borderId="0" xfId="0" pivotButton="1" applyFont="1" applyAlignment="1"/>
    <xf numFmtId="0" fontId="0" fillId="0" borderId="0" xfId="0" applyNumberFormat="1" applyFont="1" applyAlignment="1"/>
    <xf numFmtId="164" fontId="0" fillId="0" borderId="0" xfId="0" applyNumberFormat="1" applyFont="1" applyAlignment="1"/>
    <xf numFmtId="0" fontId="0" fillId="0" borderId="0" xfId="0" applyFont="1" applyAlignment="1">
      <alignment horizontal="right"/>
    </xf>
    <xf numFmtId="0" fontId="0" fillId="0" borderId="1" xfId="0" applyFont="1" applyBorder="1" applyAlignment="1"/>
    <xf numFmtId="0" fontId="0" fillId="0" borderId="1" xfId="0" applyFont="1" applyBorder="1" applyAlignment="1">
      <alignment horizontal="right"/>
    </xf>
    <xf numFmtId="165" fontId="0" fillId="0" borderId="1" xfId="0" applyNumberFormat="1" applyFont="1" applyBorder="1" applyAlignment="1"/>
    <xf numFmtId="0" fontId="0" fillId="0" borderId="1" xfId="0" applyFont="1" applyBorder="1" applyAlignment="1">
      <alignment wrapText="1"/>
    </xf>
    <xf numFmtId="0" fontId="6" fillId="0" borderId="0" xfId="0" applyFont="1" applyAlignment="1"/>
    <xf numFmtId="166" fontId="0" fillId="0" borderId="1" xfId="0" applyNumberFormat="1" applyFont="1" applyBorder="1" applyAlignment="1"/>
    <xf numFmtId="0" fontId="0" fillId="0" borderId="1" xfId="0" applyFont="1" applyBorder="1" applyAlignment="1">
      <alignment horizontal="left"/>
    </xf>
    <xf numFmtId="14" fontId="0" fillId="0" borderId="1" xfId="0" applyNumberFormat="1" applyFont="1" applyBorder="1" applyAlignment="1">
      <alignment horizontal="right"/>
    </xf>
    <xf numFmtId="22" fontId="0" fillId="0" borderId="1" xfId="0" applyNumberFormat="1" applyFont="1" applyBorder="1" applyAlignment="1">
      <alignment horizontal="right"/>
    </xf>
    <xf numFmtId="0" fontId="0" fillId="0" borderId="1" xfId="0" applyNumberFormat="1" applyFont="1" applyBorder="1" applyAlignment="1">
      <alignment horizontal="right"/>
    </xf>
    <xf numFmtId="0" fontId="4" fillId="2" borderId="1" xfId="0" applyFont="1" applyFill="1" applyBorder="1" applyAlignment="1"/>
    <xf numFmtId="0" fontId="4" fillId="3" borderId="1" xfId="0" applyFont="1" applyFill="1" applyBorder="1" applyAlignment="1">
      <alignment wrapText="1"/>
    </xf>
    <xf numFmtId="0" fontId="4" fillId="3" borderId="1" xfId="0" applyFont="1" applyFill="1" applyBorder="1" applyAlignment="1">
      <alignment horizontal="right" wrapText="1"/>
    </xf>
    <xf numFmtId="0" fontId="4" fillId="3" borderId="1" xfId="0" applyFont="1" applyFill="1" applyBorder="1" applyAlignment="1">
      <alignment horizontal="right"/>
    </xf>
    <xf numFmtId="0" fontId="4" fillId="3" borderId="1" xfId="0" applyFont="1" applyFill="1" applyBorder="1" applyAlignment="1"/>
    <xf numFmtId="167" fontId="0" fillId="0" borderId="0" xfId="0" applyNumberFormat="1" applyFont="1" applyAlignment="1"/>
    <xf numFmtId="0" fontId="7" fillId="0" borderId="0" xfId="0" applyFont="1" applyAlignment="1">
      <alignment vertical="center"/>
    </xf>
    <xf numFmtId="0" fontId="0" fillId="0" borderId="5" xfId="0" applyFont="1" applyBorder="1" applyAlignment="1"/>
    <xf numFmtId="0" fontId="4" fillId="0" borderId="5" xfId="0" applyFont="1" applyBorder="1" applyAlignment="1"/>
    <xf numFmtId="167" fontId="0" fillId="0" borderId="5" xfId="0" applyNumberFormat="1" applyFont="1" applyBorder="1" applyAlignment="1"/>
    <xf numFmtId="0" fontId="0" fillId="0" borderId="0" xfId="0" applyFill="1" applyBorder="1" applyAlignment="1"/>
    <xf numFmtId="167" fontId="0" fillId="0" borderId="0" xfId="0" applyNumberFormat="1" applyFill="1" applyBorder="1" applyAlignment="1"/>
    <xf numFmtId="2" fontId="0" fillId="0" borderId="0" xfId="0" applyNumberFormat="1" applyFill="1" applyBorder="1" applyAlignment="1"/>
    <xf numFmtId="0" fontId="0" fillId="0" borderId="7" xfId="0" applyFill="1" applyBorder="1" applyAlignment="1"/>
    <xf numFmtId="167" fontId="0" fillId="0" borderId="7" xfId="0" applyNumberFormat="1" applyFill="1" applyBorder="1" applyAlignment="1"/>
    <xf numFmtId="0" fontId="8" fillId="4" borderId="8" xfId="0" applyFont="1" applyFill="1" applyBorder="1" applyAlignment="1">
      <alignment horizontal="left"/>
    </xf>
    <xf numFmtId="0" fontId="8" fillId="4" borderId="6" xfId="0" applyFont="1" applyFill="1" applyBorder="1" applyAlignment="1">
      <alignment horizontal="left"/>
    </xf>
    <xf numFmtId="0" fontId="0" fillId="0" borderId="9" xfId="0" applyFill="1" applyBorder="1" applyAlignment="1"/>
    <xf numFmtId="0" fontId="9" fillId="5" borderId="0" xfId="0" applyFont="1" applyFill="1" applyBorder="1" applyAlignment="1">
      <alignment horizontal="left"/>
    </xf>
    <xf numFmtId="0" fontId="10" fillId="5" borderId="9" xfId="0" applyFont="1" applyFill="1" applyBorder="1" applyAlignment="1">
      <alignment horizontal="left"/>
    </xf>
    <xf numFmtId="0" fontId="9" fillId="5" borderId="7" xfId="0" applyFont="1" applyFill="1" applyBorder="1" applyAlignment="1">
      <alignment horizontal="left"/>
    </xf>
    <xf numFmtId="0" fontId="11" fillId="4" borderId="6" xfId="0" applyFont="1" applyFill="1" applyBorder="1" applyAlignment="1">
      <alignment horizontal="right"/>
    </xf>
    <xf numFmtId="0" fontId="11" fillId="4" borderId="8" xfId="0" applyFont="1" applyFill="1" applyBorder="1" applyAlignment="1">
      <alignment horizontal="right"/>
    </xf>
    <xf numFmtId="167" fontId="0" fillId="6" borderId="0" xfId="0" applyNumberFormat="1" applyFill="1" applyBorder="1" applyAlignment="1"/>
    <xf numFmtId="2" fontId="0" fillId="6" borderId="0" xfId="0" applyNumberFormat="1" applyFill="1" applyBorder="1" applyAlignment="1"/>
    <xf numFmtId="0" fontId="0" fillId="6" borderId="0" xfId="0" applyFill="1" applyBorder="1" applyAlignment="1"/>
    <xf numFmtId="0" fontId="12" fillId="0" borderId="0" xfId="0" applyFont="1" applyFill="1" applyBorder="1" applyAlignment="1">
      <alignment vertical="top" wrapText="1"/>
    </xf>
    <xf numFmtId="0" fontId="4" fillId="0" borderId="10" xfId="0" applyFont="1" applyBorder="1" applyAlignment="1"/>
    <xf numFmtId="167" fontId="0" fillId="0" borderId="10" xfId="0" applyNumberFormat="1" applyFont="1" applyBorder="1" applyAlignment="1"/>
    <xf numFmtId="2" fontId="0" fillId="0" borderId="10" xfId="0" applyNumberFormat="1" applyFont="1" applyBorder="1" applyAlignment="1"/>
    <xf numFmtId="0" fontId="0" fillId="0" borderId="10" xfId="0" applyNumberFormat="1" applyFont="1" applyBorder="1" applyAlignment="1"/>
    <xf numFmtId="0" fontId="2" fillId="0" borderId="0" xfId="0" applyFont="1" applyAlignment="1"/>
    <xf numFmtId="0" fontId="0" fillId="0" borderId="10" xfId="0" applyFont="1" applyBorder="1" applyAlignment="1"/>
    <xf numFmtId="0" fontId="13" fillId="0" borderId="11" xfId="0" applyFont="1" applyFill="1" applyBorder="1" applyAlignment="1">
      <alignment horizontal="center"/>
    </xf>
    <xf numFmtId="0" fontId="13" fillId="0" borderId="11" xfId="0" applyFont="1" applyFill="1" applyBorder="1" applyAlignment="1">
      <alignment horizontal="centerContinuous"/>
    </xf>
    <xf numFmtId="0" fontId="5" fillId="0" borderId="0" xfId="0" applyFont="1" applyBorder="1" applyAlignment="1">
      <alignment vertical="center"/>
    </xf>
    <xf numFmtId="0" fontId="0" fillId="0" borderId="0" xfId="0" applyFont="1" applyBorder="1" applyAlignment="1"/>
    <xf numFmtId="0" fontId="4" fillId="0" borderId="0" xfId="0" applyFont="1" applyBorder="1" applyAlignment="1"/>
    <xf numFmtId="167" fontId="1" fillId="0" borderId="0" xfId="0" applyNumberFormat="1" applyFont="1" applyBorder="1" applyAlignment="1"/>
    <xf numFmtId="0" fontId="1" fillId="0" borderId="0" xfId="0" applyFont="1" applyBorder="1" applyAlignment="1"/>
    <xf numFmtId="0" fontId="1" fillId="0" borderId="0" xfId="0" applyFont="1" applyBorder="1" applyAlignment="1">
      <alignment horizontal="right"/>
    </xf>
    <xf numFmtId="0" fontId="15" fillId="0" borderId="0" xfId="0" applyFont="1" applyBorder="1" applyAlignment="1"/>
    <xf numFmtId="0" fontId="14" fillId="0" borderId="0" xfId="0" applyFont="1" applyBorder="1" applyAlignment="1"/>
    <xf numFmtId="0" fontId="5" fillId="0" borderId="12" xfId="0" applyFont="1" applyBorder="1" applyAlignment="1">
      <alignment vertical="center"/>
    </xf>
    <xf numFmtId="0" fontId="0" fillId="0" borderId="12" xfId="0" applyFont="1" applyBorder="1" applyAlignment="1"/>
    <xf numFmtId="0" fontId="4" fillId="0" borderId="12" xfId="0" applyFont="1" applyBorder="1" applyAlignment="1"/>
    <xf numFmtId="0" fontId="0" fillId="0" borderId="13" xfId="0" applyFont="1" applyBorder="1" applyAlignment="1"/>
    <xf numFmtId="0" fontId="4" fillId="0" borderId="14" xfId="0" applyFont="1" applyBorder="1" applyAlignment="1"/>
    <xf numFmtId="0" fontId="0" fillId="0" borderId="15" xfId="0" applyFont="1" applyBorder="1" applyAlignment="1"/>
    <xf numFmtId="164" fontId="4" fillId="0" borderId="10" xfId="0" applyNumberFormat="1" applyFont="1" applyBorder="1" applyAlignment="1"/>
    <xf numFmtId="0" fontId="4" fillId="0" borderId="10" xfId="0" applyNumberFormat="1" applyFont="1" applyBorder="1" applyAlignment="1">
      <alignment horizontal="center" wrapText="1"/>
    </xf>
    <xf numFmtId="0" fontId="4" fillId="0" borderId="10" xfId="0" applyFont="1" applyBorder="1" applyAlignment="1">
      <alignment wrapText="1"/>
    </xf>
    <xf numFmtId="0" fontId="3" fillId="0" borderId="10" xfId="0" applyFont="1" applyBorder="1" applyAlignment="1"/>
    <xf numFmtId="164" fontId="3" fillId="0" borderId="10" xfId="0" applyNumberFormat="1" applyFont="1" applyBorder="1" applyAlignment="1"/>
    <xf numFmtId="0" fontId="0" fillId="0" borderId="10" xfId="0" applyFont="1" applyBorder="1" applyAlignment="1">
      <alignment horizontal="right"/>
    </xf>
    <xf numFmtId="0" fontId="4" fillId="3" borderId="18" xfId="0" applyFont="1" applyFill="1" applyBorder="1" applyAlignment="1"/>
    <xf numFmtId="0" fontId="7" fillId="0" borderId="0" xfId="0" applyFont="1" applyAlignment="1">
      <alignment horizontal="center" vertical="center"/>
    </xf>
    <xf numFmtId="0" fontId="0" fillId="0" borderId="5" xfId="0" applyFont="1" applyBorder="1" applyAlignment="1">
      <alignment horizontal="center"/>
    </xf>
    <xf numFmtId="0" fontId="4" fillId="0" borderId="5" xfId="0" applyFont="1" applyBorder="1" applyAlignment="1">
      <alignment horizontal="center"/>
    </xf>
    <xf numFmtId="0" fontId="4" fillId="0" borderId="0" xfId="0" applyFont="1" applyAlignment="1">
      <alignment horizontal="center"/>
    </xf>
    <xf numFmtId="0" fontId="4" fillId="2" borderId="1" xfId="0" applyFont="1" applyFill="1" applyBorder="1" applyAlignment="1">
      <alignment horizontal="center"/>
    </xf>
    <xf numFmtId="0" fontId="4" fillId="2" borderId="1" xfId="0" applyFont="1" applyFill="1" applyBorder="1" applyAlignment="1">
      <alignment horizontal="left"/>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4" fillId="2" borderId="10" xfId="0" applyFont="1" applyFill="1" applyBorder="1" applyAlignment="1">
      <alignment horizontal="center"/>
    </xf>
    <xf numFmtId="0" fontId="4" fillId="3" borderId="10" xfId="0" applyFont="1" applyFill="1" applyBorder="1" applyAlignment="1">
      <alignment horizontal="center"/>
    </xf>
    <xf numFmtId="0" fontId="4" fillId="0" borderId="16" xfId="0" applyFont="1" applyBorder="1" applyAlignment="1">
      <alignment horizontal="center"/>
    </xf>
    <xf numFmtId="0" fontId="4" fillId="0" borderId="9" xfId="0" applyFont="1" applyBorder="1" applyAlignment="1">
      <alignment horizontal="center"/>
    </xf>
    <xf numFmtId="0" fontId="4" fillId="0" borderId="17" xfId="0" applyFont="1" applyBorder="1" applyAlignment="1">
      <alignment horizontal="center"/>
    </xf>
    <xf numFmtId="0" fontId="1" fillId="0" borderId="0" xfId="0" applyFont="1" applyBorder="1" applyAlignment="1">
      <alignment horizontal="center"/>
    </xf>
    <xf numFmtId="0" fontId="1" fillId="0" borderId="8" xfId="0" applyFont="1" applyBorder="1" applyAlignment="1">
      <alignment horizontal="center"/>
    </xf>
    <xf numFmtId="0" fontId="4" fillId="0" borderId="10" xfId="0" applyFont="1" applyBorder="1" applyAlignment="1">
      <alignment horizontal="center"/>
    </xf>
  </cellXfs>
  <cellStyles count="1">
    <cellStyle name="Normal" xfId="0" builtinId="0"/>
  </cellStyles>
  <dxfs count="5">
    <dxf>
      <numFmt numFmtId="167" formatCode="&quot;₹&quot;\ #,##0.00"/>
    </dxf>
    <dxf>
      <numFmt numFmtId="167" formatCode="&quot;₹&quot;\ #,##0.00"/>
    </dxf>
    <dxf>
      <numFmt numFmtId="167" formatCode="&quot;₹&quot;\ #,##0.00"/>
    </dxf>
    <dxf>
      <numFmt numFmtId="167" formatCode="&quot;₹&quot;\ #,##0.00"/>
    </dxf>
    <dxf>
      <numFmt numFmtId="167"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[RetailSense - Sales Intelligence &amp; Analytics Dashboard.xlsx]Dashboard!PivotTable7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 </a:t>
            </a:r>
          </a:p>
        </c:rich>
      </c:tx>
      <c:layout>
        <c:manualLayout>
          <c:xMode val="edge"/>
          <c:yMode val="edge"/>
          <c:x val="0.3331944444444444"/>
          <c:y val="3.19444868299696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Dashboard!$A$40:$A$45</c:f>
              <c:strCache>
                <c:ptCount val="5"/>
                <c:pt idx="0">
                  <c:v>Central</c:v>
                </c:pt>
                <c:pt idx="1">
                  <c:v>East</c:v>
                </c:pt>
                <c:pt idx="2">
                  <c:v>North</c:v>
                </c:pt>
                <c:pt idx="3">
                  <c:v>South</c:v>
                </c:pt>
                <c:pt idx="4">
                  <c:v>West</c:v>
                </c:pt>
              </c:strCache>
            </c:strRef>
          </c:cat>
          <c:val>
            <c:numRef>
              <c:f>Dashboard!$B$40:$B$45</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2587-4090-A37C-A5EDDEC79125}"/>
            </c:ext>
          </c:extLst>
        </c:ser>
        <c:dLbls>
          <c:showLegendKey val="0"/>
          <c:showVal val="0"/>
          <c:showCatName val="0"/>
          <c:showSerName val="0"/>
          <c:showPercent val="0"/>
          <c:showBubbleSize val="0"/>
        </c:dLbls>
        <c:gapWidth val="182"/>
        <c:axId val="30549512"/>
        <c:axId val="30555144"/>
      </c:barChart>
      <c:catAx>
        <c:axId val="30549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55144"/>
        <c:crosses val="autoZero"/>
        <c:auto val="1"/>
        <c:lblAlgn val="ctr"/>
        <c:lblOffset val="100"/>
        <c:noMultiLvlLbl val="0"/>
      </c:catAx>
      <c:valAx>
        <c:axId val="30555144"/>
        <c:scaling>
          <c:orientation val="minMax"/>
        </c:scaling>
        <c:delete val="1"/>
        <c:axPos val="b"/>
        <c:numFmt formatCode="&quot;₹&quot;\ #,##0.00" sourceLinked="1"/>
        <c:majorTickMark val="none"/>
        <c:minorTickMark val="none"/>
        <c:tickLblPos val="nextTo"/>
        <c:crossAx val="30549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[RetailSense - Sales Intelligence &amp; Analytics Dashboard.xlsx]Dashboard!PivotTable8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Dashboard!$E$40</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0AFE-4A63-8199-7C863332CF7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0AFE-4A63-8199-7C863332CF7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0AFE-4A63-8199-7C863332C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Dashboard!$D$41:$D$44</c:f>
              <c:strCache>
                <c:ptCount val="3"/>
                <c:pt idx="0">
                  <c:v>Appliances</c:v>
                </c:pt>
                <c:pt idx="1">
                  <c:v>Electronics</c:v>
                </c:pt>
                <c:pt idx="2">
                  <c:v>Furniture</c:v>
                </c:pt>
              </c:strCache>
            </c:strRef>
          </c:cat>
          <c:val>
            <c:numRef>
              <c:f>Dashboard!$E$41:$E$44</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2EFF-4BEB-BB1E-F284A4A5271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[RetailSense - Sales Intelligence &amp; Analytics Dashboard.xlsx]Dashboard!PivotTable9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Dashboard!$H$39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Dashboard!$G$40:$G$50</c:f>
              <c:strCache>
                <c:ptCount val="10"/>
                <c:pt idx="0">
                  <c:v>Barbara Young</c:v>
                </c:pt>
                <c:pt idx="1">
                  <c:v>Daniel King</c:v>
                </c:pt>
                <c:pt idx="2">
                  <c:v>Dorothy Nelson</c:v>
                </c:pt>
                <c:pt idx="3">
                  <c:v>Edward Mitchell</c:v>
                </c:pt>
                <c:pt idx="4">
                  <c:v>Joseph Jackson</c:v>
                </c:pt>
                <c:pt idx="5">
                  <c:v>Karen Hill</c:v>
                </c:pt>
                <c:pt idx="6">
                  <c:v>Lawrence Reed</c:v>
                </c:pt>
                <c:pt idx="7">
                  <c:v>Mark Carter</c:v>
                </c:pt>
                <c:pt idx="8">
                  <c:v>Patricia Moore</c:v>
                </c:pt>
                <c:pt idx="9">
                  <c:v>Paul Baker</c:v>
                </c:pt>
              </c:strCache>
            </c:strRef>
          </c:cat>
          <c:val>
            <c:numRef>
              <c:f>Dashboard!$H$40:$H$50</c:f>
              <c:numCache>
                <c:formatCode>General</c:formatCode>
                <c:ptCount val="10"/>
                <c:pt idx="0">
                  <c:v>10649.8</c:v>
                </c:pt>
                <c:pt idx="1">
                  <c:v>7309.7999999999993</c:v>
                </c:pt>
                <c:pt idx="2">
                  <c:v>8269.7900000000009</c:v>
                </c:pt>
                <c:pt idx="3">
                  <c:v>11919.769999999999</c:v>
                </c:pt>
                <c:pt idx="4">
                  <c:v>6949.84</c:v>
                </c:pt>
                <c:pt idx="5">
                  <c:v>8009.7699999999995</c:v>
                </c:pt>
                <c:pt idx="6">
                  <c:v>6989.7699999999986</c:v>
                </c:pt>
                <c:pt idx="7">
                  <c:v>15659.65</c:v>
                </c:pt>
                <c:pt idx="8">
                  <c:v>9799.73</c:v>
                </c:pt>
                <c:pt idx="9">
                  <c:v>8309.739999999998</c:v>
                </c:pt>
              </c:numCache>
            </c:numRef>
          </c:val>
          <c:extLst>
            <c:ext xmlns:c16="http://schemas.microsoft.com/office/drawing/2014/chart" uri="{C3380CC4-5D6E-409C-BE32-E72D297353CC}">
              <c16:uniqueId val="{00000000-ADBC-4E98-8E13-007E48EE6F36}"/>
            </c:ext>
          </c:extLst>
        </c:ser>
        <c:dLbls>
          <c:showLegendKey val="0"/>
          <c:showVal val="0"/>
          <c:showCatName val="0"/>
          <c:showSerName val="0"/>
          <c:showPercent val="0"/>
          <c:showBubbleSize val="0"/>
        </c:dLbls>
        <c:gapWidth val="182"/>
        <c:axId val="1818137096"/>
        <c:axId val="1818148872"/>
      </c:barChart>
      <c:catAx>
        <c:axId val="181813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148872"/>
        <c:crosses val="autoZero"/>
        <c:auto val="1"/>
        <c:lblAlgn val="ctr"/>
        <c:lblOffset val="100"/>
        <c:noMultiLvlLbl val="0"/>
      </c:catAx>
      <c:valAx>
        <c:axId val="1818148872"/>
        <c:scaling>
          <c:orientation val="minMax"/>
        </c:scaling>
        <c:delete val="1"/>
        <c:axPos val="b"/>
        <c:numFmt formatCode="General" sourceLinked="1"/>
        <c:majorTickMark val="none"/>
        <c:minorTickMark val="none"/>
        <c:tickLblPos val="nextTo"/>
        <c:crossAx val="1818137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[RetailSense - Sales Intelligence &amp; Analytics Dashboard.xlsx]Visualizations!PivotTable1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 </a:t>
            </a:r>
          </a:p>
        </c:rich>
      </c:tx>
      <c:layout>
        <c:manualLayout>
          <c:xMode val="edge"/>
          <c:yMode val="edge"/>
          <c:x val="0.34111111111111114"/>
          <c:y val="2.7777756585015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Visualizations!$A$3:$A$8</c:f>
              <c:strCache>
                <c:ptCount val="5"/>
                <c:pt idx="0">
                  <c:v>Central</c:v>
                </c:pt>
                <c:pt idx="1">
                  <c:v>East</c:v>
                </c:pt>
                <c:pt idx="2">
                  <c:v>North</c:v>
                </c:pt>
                <c:pt idx="3">
                  <c:v>South</c:v>
                </c:pt>
                <c:pt idx="4">
                  <c:v>West</c:v>
                </c:pt>
              </c:strCache>
            </c:strRef>
          </c:cat>
          <c:val>
            <c:numRef>
              <c:f>Visualizations!$B$3:$B$8</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4AE9-4ACC-BB38-C799F4F9DF7B}"/>
            </c:ext>
          </c:extLst>
        </c:ser>
        <c:dLbls>
          <c:showLegendKey val="0"/>
          <c:showVal val="0"/>
          <c:showCatName val="0"/>
          <c:showSerName val="0"/>
          <c:showPercent val="0"/>
          <c:showBubbleSize val="0"/>
        </c:dLbls>
        <c:gapWidth val="182"/>
        <c:axId val="647528456"/>
        <c:axId val="647530504"/>
      </c:barChart>
      <c:catAx>
        <c:axId val="647528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530504"/>
        <c:crosses val="autoZero"/>
        <c:auto val="1"/>
        <c:lblAlgn val="ctr"/>
        <c:lblOffset val="100"/>
        <c:noMultiLvlLbl val="0"/>
      </c:catAx>
      <c:valAx>
        <c:axId val="647530504"/>
        <c:scaling>
          <c:orientation val="minMax"/>
        </c:scaling>
        <c:delete val="1"/>
        <c:axPos val="b"/>
        <c:numFmt formatCode="&quot;₹&quot;\ #,##0.00" sourceLinked="1"/>
        <c:majorTickMark val="none"/>
        <c:minorTickMark val="none"/>
        <c:tickLblPos val="nextTo"/>
        <c:crossAx val="647528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[RetailSense - Sales Intelligence &amp; Analytics Dashboard.xlsx]Visualizations!PivotTable5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Visualizations!$A$18:$A$31</c:f>
              <c:strCache>
                <c:ptCount val="13"/>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strCache>
            </c:strRef>
          </c:cat>
          <c:val>
            <c:numRef>
              <c:f>Visualizations!$B$18:$B$31</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8AE0-48DA-A8A9-6765D6290A95}"/>
            </c:ext>
          </c:extLst>
        </c:ser>
        <c:dLbls>
          <c:showLegendKey val="0"/>
          <c:showVal val="0"/>
          <c:showCatName val="0"/>
          <c:showSerName val="0"/>
          <c:showPercent val="0"/>
          <c:showBubbleSize val="0"/>
        </c:dLbls>
        <c:marker val="1"/>
        <c:smooth val="0"/>
        <c:axId val="1123536903"/>
        <c:axId val="1123538951"/>
      </c:lineChart>
      <c:catAx>
        <c:axId val="1123536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538951"/>
        <c:crosses val="autoZero"/>
        <c:auto val="1"/>
        <c:lblAlgn val="ctr"/>
        <c:lblOffset val="100"/>
        <c:noMultiLvlLbl val="0"/>
      </c:catAx>
      <c:valAx>
        <c:axId val="1123538951"/>
        <c:scaling>
          <c:orientation val="minMax"/>
        </c:scaling>
        <c:delete val="1"/>
        <c:axPos val="l"/>
        <c:numFmt formatCode="&quot;₹&quot;\ #,##0.00" sourceLinked="1"/>
        <c:majorTickMark val="none"/>
        <c:minorTickMark val="none"/>
        <c:tickLblPos val="nextTo"/>
        <c:crossAx val="1123536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[RetailSense - Sales Intelligence &amp; Analytics Dashboard.xlsx]Visualizations!PivotTable6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32819446987575956"/>
          <c:y val="3.12500211927625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Visualizations!$B$39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F8-456E-B569-93F8A76896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F8-456E-B569-93F8A76896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F8-456E-B569-93F8A76896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Visualizations!$A$40:$A$43</c:f>
              <c:strCache>
                <c:ptCount val="3"/>
                <c:pt idx="0">
                  <c:v>Appliances</c:v>
                </c:pt>
                <c:pt idx="1">
                  <c:v>Electronics</c:v>
                </c:pt>
                <c:pt idx="2">
                  <c:v>Furniture</c:v>
                </c:pt>
              </c:strCache>
            </c:strRef>
          </c:cat>
          <c:val>
            <c:numRef>
              <c:f>Visualizations!$B$40:$B$43</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78B4-424D-B09C-63CAA86AA87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285750</xdr:colOff>
      <xdr:row>4</xdr:row>
      <xdr:rowOff>55430</xdr:rowOff>
    </xdr:from>
    <xdr:to>
      <xdr:col>13</xdr:col>
      <xdr:colOff>405765</xdr:colOff>
      <xdr:row>12</xdr:row>
      <xdr:rowOff>45905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0B730DA-4439-D774-8FE6-DDF494490BCC}"/>
                </a:ext>
                <a:ext uri="{147F2762-F138-4A5C-976F-8EAC2B608ADB}">
                  <a16:predDERef xmlns:a16="http://schemas.microsoft.com/office/drawing/2014/main" pred="{12613C45-7954-4352-9419-61B670BB2A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10810" y="826611"/>
              <a:ext cx="1598112" cy="1459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9525</xdr:rowOff>
    </xdr:from>
    <xdr:to>
      <xdr:col>4</xdr:col>
      <xdr:colOff>1343025</xdr:colOff>
      <xdr:row>18</xdr:row>
      <xdr:rowOff>85725</xdr:rowOff>
    </xdr:to>
    <xdr:graphicFrame macro="">
      <xdr:nvGraphicFramePr>
        <xdr:cNvPr id="9" name="Chart 8">
          <a:extLst>
            <a:ext uri="{FF2B5EF4-FFF2-40B4-BE49-F238E27FC236}">
              <a16:creationId xmlns:a16="http://schemas.microsoft.com/office/drawing/2014/main" id="{FF6EFF50-2D6F-F16F-53AF-46633C04B72D}"/>
            </a:ext>
            <a:ext uri="{147F2762-F138-4A5C-976F-8EAC2B608ADB}">
              <a16:predDERef xmlns:a16="http://schemas.microsoft.com/office/drawing/2014/main" pred="{20B730DA-4439-D774-8FE6-DDF494490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180975</xdr:rowOff>
    </xdr:from>
    <xdr:to>
      <xdr:col>4</xdr:col>
      <xdr:colOff>1352550</xdr:colOff>
      <xdr:row>34</xdr:row>
      <xdr:rowOff>171450</xdr:rowOff>
    </xdr:to>
    <xdr:graphicFrame macro="">
      <xdr:nvGraphicFramePr>
        <xdr:cNvPr id="10" name="Chart 9">
          <a:extLst>
            <a:ext uri="{FF2B5EF4-FFF2-40B4-BE49-F238E27FC236}">
              <a16:creationId xmlns:a16="http://schemas.microsoft.com/office/drawing/2014/main" id="{6DC7F54F-4C8E-7954-A20A-8A78D332C69F}"/>
            </a:ext>
            <a:ext uri="{147F2762-F138-4A5C-976F-8EAC2B608ADB}">
              <a16:predDERef xmlns:a16="http://schemas.microsoft.com/office/drawing/2014/main" pred="{FF6EFF50-2D6F-F16F-53AF-46633C04B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590550</xdr:colOff>
      <xdr:row>19</xdr:row>
      <xdr:rowOff>161925</xdr:rowOff>
    </xdr:from>
    <xdr:to>
      <xdr:col>10</xdr:col>
      <xdr:colOff>952500</xdr:colOff>
      <xdr:row>34</xdr:row>
      <xdr:rowOff>180975</xdr:rowOff>
    </xdr:to>
    <xdr:graphicFrame macro="">
      <xdr:nvGraphicFramePr>
        <xdr:cNvPr id="11" name="Chart 10">
          <a:extLst>
            <a:ext uri="{FF2B5EF4-FFF2-40B4-BE49-F238E27FC236}">
              <a16:creationId xmlns:a16="http://schemas.microsoft.com/office/drawing/2014/main" id="{7A9CF93D-5B1A-28D0-9961-08169D326361}"/>
            </a:ext>
            <a:ext uri="{147F2762-F138-4A5C-976F-8EAC2B608ADB}">
              <a16:predDERef xmlns:a16="http://schemas.microsoft.com/office/drawing/2014/main" pred="{6DC7F54F-4C8E-7954-A20A-8A78D332C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272415</xdr:colOff>
      <xdr:row>23</xdr:row>
      <xdr:rowOff>37551</xdr:rowOff>
    </xdr:from>
    <xdr:to>
      <xdr:col>13</xdr:col>
      <xdr:colOff>375285</xdr:colOff>
      <xdr:row>31</xdr:row>
      <xdr:rowOff>26121</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19CACAF9-5085-5CA4-CABE-6CF4E2FA6B23}"/>
                </a:ext>
                <a:ext uri="{147F2762-F138-4A5C-976F-8EAC2B608ADB}">
                  <a16:predDERef xmlns:a16="http://schemas.microsoft.com/office/drawing/2014/main" pred="{7A9CF93D-5B1A-28D0-9961-08169D32636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197475" y="4297406"/>
              <a:ext cx="1580967" cy="1457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257175</xdr:colOff>
      <xdr:row>13</xdr:row>
      <xdr:rowOff>170603</xdr:rowOff>
    </xdr:from>
    <xdr:to>
      <xdr:col>13</xdr:col>
      <xdr:colOff>401955</xdr:colOff>
      <xdr:row>21</xdr:row>
      <xdr:rowOff>170603</xdr:rowOff>
    </xdr:to>
    <mc:AlternateContent xmlns:mc="http://schemas.openxmlformats.org/markup-compatibility/2006" xmlns:a14="http://schemas.microsoft.com/office/drawing/2010/main">
      <mc:Choice Requires="a14">
        <xdr:graphicFrame macro="">
          <xdr:nvGraphicFramePr>
            <xdr:cNvPr id="13" name="Customer_Segment 1">
              <a:extLst>
                <a:ext uri="{FF2B5EF4-FFF2-40B4-BE49-F238E27FC236}">
                  <a16:creationId xmlns:a16="http://schemas.microsoft.com/office/drawing/2014/main" id="{F5BC4718-52B3-AE20-0DD8-CE733A448E86}"/>
                </a:ext>
                <a:ext uri="{147F2762-F138-4A5C-976F-8EAC2B608ADB}">
                  <a16:predDERef xmlns:a16="http://schemas.microsoft.com/office/drawing/2014/main" pred="{19CACAF9-5085-5CA4-CABE-6CF4E2FA6B23}"/>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1182235" y="2594314"/>
              <a:ext cx="1622877" cy="1468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11</xdr:row>
      <xdr:rowOff>0</xdr:rowOff>
    </xdr:from>
    <xdr:to>
      <xdr:col>11</xdr:col>
      <xdr:colOff>0</xdr:colOff>
      <xdr:row>18</xdr:row>
      <xdr:rowOff>91440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590BBB99-1CC5-4027-A9A1-D5ED44BA348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425807" y="2056482"/>
              <a:ext cx="5652203" cy="13767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0</xdr:row>
      <xdr:rowOff>0</xdr:rowOff>
    </xdr:from>
    <xdr:to>
      <xdr:col>10</xdr:col>
      <xdr:colOff>419100</xdr:colOff>
      <xdr:row>14</xdr:row>
      <xdr:rowOff>142875</xdr:rowOff>
    </xdr:to>
    <xdr:graphicFrame macro="">
      <xdr:nvGraphicFramePr>
        <xdr:cNvPr id="2" name="Chart 1">
          <a:extLst>
            <a:ext uri="{FF2B5EF4-FFF2-40B4-BE49-F238E27FC236}">
              <a16:creationId xmlns:a16="http://schemas.microsoft.com/office/drawing/2014/main" id="{B3D0457E-7011-EAA4-3B9A-A6EFF7DB0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16</xdr:row>
      <xdr:rowOff>0</xdr:rowOff>
    </xdr:from>
    <xdr:to>
      <xdr:col>11</xdr:col>
      <xdr:colOff>142875</xdr:colOff>
      <xdr:row>34</xdr:row>
      <xdr:rowOff>161925</xdr:rowOff>
    </xdr:to>
    <xdr:graphicFrame macro="">
      <xdr:nvGraphicFramePr>
        <xdr:cNvPr id="3" name="Chart 2">
          <a:extLst>
            <a:ext uri="{FF2B5EF4-FFF2-40B4-BE49-F238E27FC236}">
              <a16:creationId xmlns:a16="http://schemas.microsoft.com/office/drawing/2014/main" id="{591CFB99-B92C-B57D-A239-1A317C1ECC0D}"/>
            </a:ext>
            <a:ext uri="{147F2762-F138-4A5C-976F-8EAC2B608ADB}">
              <a16:predDERef xmlns:a16="http://schemas.microsoft.com/office/drawing/2014/main" pred="{B3D0457E-7011-EAA4-3B9A-A6EFF7DB0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628650</xdr:colOff>
      <xdr:row>37</xdr:row>
      <xdr:rowOff>28575</xdr:rowOff>
    </xdr:from>
    <xdr:to>
      <xdr:col>9</xdr:col>
      <xdr:colOff>180975</xdr:colOff>
      <xdr:row>51</xdr:row>
      <xdr:rowOff>104775</xdr:rowOff>
    </xdr:to>
    <xdr:graphicFrame macro="">
      <xdr:nvGraphicFramePr>
        <xdr:cNvPr id="4" name="Chart 3">
          <a:extLst>
            <a:ext uri="{FF2B5EF4-FFF2-40B4-BE49-F238E27FC236}">
              <a16:creationId xmlns:a16="http://schemas.microsoft.com/office/drawing/2014/main" id="{642437D0-A873-1D76-19A8-5E86F0C3DC5F}"/>
            </a:ext>
            <a:ext uri="{147F2762-F138-4A5C-976F-8EAC2B608ADB}">
              <a16:predDERef xmlns:a16="http://schemas.microsoft.com/office/drawing/2014/main" pred="{591CFB99-B92C-B57D-A239-1A317C1EC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606794791667" createdVersion="8" refreshedVersion="8" minRefreshableVersion="3" recordCount="250" xr:uid="{D90AA21C-8C8F-4B7B-A74A-33A0A7BDEB4F}">
  <cacheSource type="worksheet">
    <worksheetSource ref="A1:P251" sheet="Raw data"/>
  </cacheSource>
  <cacheFields count="16">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ys as customer" numFmtId="0">
      <sharedItems containsSemiMixedTypes="0" containsString="0" containsNumber="1" containsInteger="1" minValue="761" maxValue="1759"/>
    </cacheField>
    <cacheField name="Transaction days" numFmtId="0">
      <sharedItems containsSemiMixedTypes="0" containsString="0" containsNumber="1" containsInteger="1" minValue="396" maxValue="761"/>
    </cacheField>
  </cacheFields>
  <extLst>
    <ext xmlns:x14="http://schemas.microsoft.com/office/spreadsheetml/2009/9/main" uri="{725AE2AE-9491-48be-B2B4-4EB974FC3084}">
      <x14:pivotCacheDefinition pivotCacheId="15499137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4.6242025463" createdVersion="8" refreshedVersion="8" minRefreshableVersion="3" recordCount="250" xr:uid="{35BE922D-FCEC-4A0C-BDA4-88142895134E}">
  <cacheSource type="worksheet">
    <worksheetSource ref="A1:R251" sheet="Raw data"/>
  </cacheSource>
  <cacheFields count="18">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ys as customer" numFmtId="0">
      <sharedItems containsSemiMixedTypes="0" containsString="0" containsNumber="1" containsInteger="1" minValue="761" maxValue="1759"/>
    </cacheField>
    <cacheField name="Transaction days" numFmtId="0">
      <sharedItems containsSemiMixedTypes="0" containsString="0" containsNumber="1" containsInteger="1" minValue="396" maxValue="761"/>
    </cacheField>
    <cacheField name="Month-Year" numFmtId="0">
      <sharedItems count="13">
        <s v="2024-04"/>
        <s v="2024-05"/>
        <s v="2024-06"/>
        <s v="2024-07"/>
        <s v="2024-08"/>
        <s v="2024-09"/>
        <s v="2024-10"/>
        <s v="2024-11"/>
        <s v="2024-12"/>
        <s v="2025-01"/>
        <s v="2025-02"/>
        <s v="2025-03"/>
        <s v="2025-04"/>
      </sharedItems>
    </cacheField>
    <cacheField name="Short date" numFmtId="0">
      <sharedItems containsSemiMixedTypes="0" containsString="0" containsNumber="1" containsInteger="1" minValue="202404" maxValue="202504"/>
    </cacheField>
  </cacheFields>
  <extLst>
    <ext xmlns:x14="http://schemas.microsoft.com/office/spreadsheetml/2009/9/main" uri="{725AE2AE-9491-48be-B2B4-4EB974FC3084}">
      <x14:pivotCacheDefinition pivotCacheId="2108338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n v="3"/>
    <n v="249.99"/>
    <s v="Cash"/>
    <x v="0"/>
    <x v="0"/>
    <d v="2021-08-17T00:00:00"/>
    <n v="749.97"/>
    <n v="1729"/>
    <n v="761"/>
  </r>
  <r>
    <s v="TRX0023"/>
    <x v="1"/>
    <s v="CUST013"/>
    <s v="Joseph Jackson"/>
    <s v="P009"/>
    <s v="Monitor"/>
    <x v="0"/>
    <n v="3"/>
    <n v="249.99"/>
    <s v="Credit Card"/>
    <x v="0"/>
    <x v="1"/>
    <d v="2022-01-14T00:00:00"/>
    <n v="749.97"/>
    <n v="1579"/>
    <n v="758"/>
  </r>
  <r>
    <s v="TRX0139"/>
    <x v="2"/>
    <s v="CUST021"/>
    <s v="Kevin Scott"/>
    <s v="P005"/>
    <s v="Blender"/>
    <x v="1"/>
    <n v="3"/>
    <n v="59.99"/>
    <s v="PayPal"/>
    <x v="1"/>
    <x v="2"/>
    <d v="2023-12-02T00:00:00"/>
    <n v="179.97"/>
    <n v="892"/>
    <n v="755"/>
  </r>
  <r>
    <s v="TRX0043"/>
    <x v="3"/>
    <s v="CUST046"/>
    <s v="Kathleen Bennett"/>
    <s v="P005"/>
    <s v="Blender"/>
    <x v="1"/>
    <n v="3"/>
    <n v="59.99"/>
    <s v="Cash"/>
    <x v="2"/>
    <x v="1"/>
    <d v="2023-07-07T00:00:00"/>
    <n v="179.97"/>
    <n v="1040"/>
    <n v="754"/>
  </r>
  <r>
    <s v="TRX0212"/>
    <x v="3"/>
    <s v="CUST003"/>
    <s v="Michael Brown"/>
    <s v="P008"/>
    <s v="Bookshelf"/>
    <x v="2"/>
    <n v="5"/>
    <n v="149.99"/>
    <s v="Credit Card"/>
    <x v="2"/>
    <x v="1"/>
    <d v="2024-01-04T00:00:00"/>
    <n v="749.95"/>
    <n v="859"/>
    <n v="754"/>
  </r>
  <r>
    <s v="TRX0092"/>
    <x v="4"/>
    <s v="CUST024"/>
    <s v="Dorothy Nelson"/>
    <s v="P005"/>
    <s v="Blender"/>
    <x v="1"/>
    <n v="2"/>
    <n v="59.99"/>
    <s v="Cash"/>
    <x v="3"/>
    <x v="2"/>
    <d v="2022-07-04T00:00:00"/>
    <n v="119.98"/>
    <n v="1408"/>
    <n v="751"/>
  </r>
  <r>
    <s v="TRX0193"/>
    <x v="4"/>
    <s v="CUST024"/>
    <s v="Dorothy Nelson"/>
    <s v="P003"/>
    <s v="Headphones"/>
    <x v="0"/>
    <n v="5"/>
    <n v="149.99"/>
    <s v="Credit Card"/>
    <x v="0"/>
    <x v="2"/>
    <d v="2021-08-10T00:00:00"/>
    <n v="749.95"/>
    <n v="1736"/>
    <n v="751"/>
  </r>
  <r>
    <s v="TRX0240"/>
    <x v="4"/>
    <s v="CUST017"/>
    <s v="Charles Allen"/>
    <s v="P005"/>
    <s v="Blender"/>
    <x v="1"/>
    <n v="3"/>
    <n v="59.99"/>
    <s v="Debit Card"/>
    <x v="1"/>
    <x v="0"/>
    <d v="2023-03-22T00:00:00"/>
    <n v="179.97"/>
    <n v="1147"/>
    <n v="751"/>
  </r>
  <r>
    <s v="TRX0135"/>
    <x v="5"/>
    <s v="CUST009"/>
    <s v="Robert Thomas"/>
    <s v="P001"/>
    <s v="Laptop"/>
    <x v="0"/>
    <n v="3"/>
    <n v="899.99"/>
    <s v="PayPal"/>
    <x v="4"/>
    <x v="2"/>
    <d v="2024-01-08T00:00:00"/>
    <n v="2699.97"/>
    <n v="855"/>
    <n v="749"/>
  </r>
  <r>
    <s v="TRX0185"/>
    <x v="6"/>
    <s v="CUST026"/>
    <s v="Karen Hill"/>
    <s v="P005"/>
    <s v="Blender"/>
    <x v="1"/>
    <n v="3"/>
    <n v="59.99"/>
    <s v="Cash"/>
    <x v="3"/>
    <x v="1"/>
    <d v="2023-10-08T00:00:00"/>
    <n v="179.97"/>
    <n v="947"/>
    <n v="746"/>
  </r>
  <r>
    <s v="TRX0138"/>
    <x v="6"/>
    <s v="CUST022"/>
    <s v="Susan Green"/>
    <s v="P008"/>
    <s v="Bookshelf"/>
    <x v="2"/>
    <n v="1"/>
    <n v="149.99"/>
    <s v="Credit Card"/>
    <x v="3"/>
    <x v="2"/>
    <d v="2023-06-26T00:00:00"/>
    <n v="149.99"/>
    <n v="1051"/>
    <n v="746"/>
  </r>
  <r>
    <s v="TRX0209"/>
    <x v="6"/>
    <s v="CUST046"/>
    <s v="Kathleen Bennett"/>
    <s v="P008"/>
    <s v="Bookshelf"/>
    <x v="2"/>
    <n v="5"/>
    <n v="149.99"/>
    <s v="Debit Card"/>
    <x v="2"/>
    <x v="0"/>
    <d v="2022-09-26T00:00:00"/>
    <n v="749.95"/>
    <n v="1324"/>
    <n v="746"/>
  </r>
  <r>
    <s v="TRX0246"/>
    <x v="6"/>
    <s v="CUST041"/>
    <s v="Peter Richardson"/>
    <s v="P008"/>
    <s v="Bookshelf"/>
    <x v="2"/>
    <n v="3"/>
    <n v="149.99"/>
    <s v="Cash"/>
    <x v="2"/>
    <x v="1"/>
    <d v="2022-09-02T00:00:00"/>
    <n v="449.97"/>
    <n v="1348"/>
    <n v="746"/>
  </r>
  <r>
    <s v="TRX0067"/>
    <x v="7"/>
    <s v="CUST043"/>
    <s v="Dennis Gray"/>
    <s v="P005"/>
    <s v="Blender"/>
    <x v="1"/>
    <n v="3"/>
    <n v="59.99"/>
    <s v="Credit Card"/>
    <x v="2"/>
    <x v="2"/>
    <d v="2024-02-29T00:00:00"/>
    <n v="179.97"/>
    <n v="803"/>
    <n v="745"/>
  </r>
  <r>
    <s v="TRX0191"/>
    <x v="7"/>
    <s v="CUST038"/>
    <s v="Michelle Rogers"/>
    <s v="P002"/>
    <s v="Smartphone"/>
    <x v="0"/>
    <n v="3"/>
    <n v="699.99"/>
    <s v="Credit Card"/>
    <x v="3"/>
    <x v="0"/>
    <d v="2022-01-16T00:00:00"/>
    <n v="2099.9699999999998"/>
    <n v="1577"/>
    <n v="745"/>
  </r>
  <r>
    <s v="TRX0230"/>
    <x v="7"/>
    <s v="CUST027"/>
    <s v="George Adams"/>
    <s v="P001"/>
    <s v="Laptop"/>
    <x v="0"/>
    <n v="1"/>
    <n v="899.99"/>
    <s v="Debit Card"/>
    <x v="2"/>
    <x v="2"/>
    <d v="2022-12-25T00:00:00"/>
    <n v="899.99"/>
    <n v="1234"/>
    <n v="745"/>
  </r>
  <r>
    <s v="TRX0049"/>
    <x v="8"/>
    <s v="CUST025"/>
    <s v="Mark Carter"/>
    <s v="P008"/>
    <s v="Bookshelf"/>
    <x v="2"/>
    <n v="4"/>
    <n v="149.99"/>
    <s v="Debit Card"/>
    <x v="2"/>
    <x v="1"/>
    <d v="2024-03-23T00:00:00"/>
    <n v="599.96"/>
    <n v="780"/>
    <n v="744"/>
  </r>
  <r>
    <s v="TRX0134"/>
    <x v="8"/>
    <s v="CUST010"/>
    <s v="Maria Garcia"/>
    <s v="P002"/>
    <s v="Smartphone"/>
    <x v="0"/>
    <n v="2"/>
    <n v="699.99"/>
    <s v="Cash"/>
    <x v="2"/>
    <x v="0"/>
    <d v="2022-08-08T00:00:00"/>
    <n v="1399.98"/>
    <n v="1373"/>
    <n v="744"/>
  </r>
  <r>
    <s v="TRX0122"/>
    <x v="8"/>
    <s v="CUST025"/>
    <s v="Mark Carter"/>
    <s v="P001"/>
    <s v="Laptop"/>
    <x v="0"/>
    <n v="4"/>
    <n v="899.99"/>
    <s v="Credit Card"/>
    <x v="3"/>
    <x v="2"/>
    <d v="2024-02-05T00:00:00"/>
    <n v="3599.96"/>
    <n v="827"/>
    <n v="744"/>
  </r>
  <r>
    <s v="TRX0222"/>
    <x v="8"/>
    <s v="CUST048"/>
    <s v="Virginia Sanders"/>
    <s v="P009"/>
    <s v="Monitor"/>
    <x v="0"/>
    <n v="3"/>
    <n v="249.99"/>
    <s v="Credit Card"/>
    <x v="2"/>
    <x v="1"/>
    <d v="2023-10-25T00:00:00"/>
    <n v="749.97"/>
    <n v="930"/>
    <n v="744"/>
  </r>
  <r>
    <s v="TRX0231"/>
    <x v="9"/>
    <s v="CUST018"/>
    <s v="Barbara Young"/>
    <s v="P002"/>
    <s v="Smartphone"/>
    <x v="0"/>
    <n v="5"/>
    <n v="699.99"/>
    <s v="Cash"/>
    <x v="3"/>
    <x v="0"/>
    <d v="2023-08-29T00:00:00"/>
    <n v="3499.95"/>
    <n v="987"/>
    <n v="742"/>
  </r>
  <r>
    <s v="TRX0239"/>
    <x v="10"/>
    <s v="CUST012"/>
    <s v="Patricia Moore"/>
    <s v="P002"/>
    <s v="Smartphone"/>
    <x v="0"/>
    <n v="4"/>
    <n v="699.99"/>
    <s v="Cash"/>
    <x v="4"/>
    <x v="2"/>
    <d v="2021-08-01T00:00:00"/>
    <n v="2799.96"/>
    <n v="1745"/>
    <n v="741"/>
  </r>
  <r>
    <s v="TRX0204"/>
    <x v="11"/>
    <s v="CUST044"/>
    <s v="Cynthia Price"/>
    <s v="P009"/>
    <s v="Monitor"/>
    <x v="0"/>
    <n v="4"/>
    <n v="249.99"/>
    <s v="PayPal"/>
    <x v="2"/>
    <x v="2"/>
    <d v="2021-09-29T00:00:00"/>
    <n v="999.96"/>
    <n v="1686"/>
    <n v="739"/>
  </r>
  <r>
    <s v="TRX0242"/>
    <x v="12"/>
    <s v="CUST025"/>
    <s v="Mark Carter"/>
    <s v="P007"/>
    <s v="Desk"/>
    <x v="2"/>
    <n v="4"/>
    <n v="299.99"/>
    <s v="Cash"/>
    <x v="3"/>
    <x v="1"/>
    <d v="2022-06-04T00:00:00"/>
    <n v="1199.96"/>
    <n v="1438"/>
    <n v="738"/>
  </r>
  <r>
    <s v="TRX0071"/>
    <x v="13"/>
    <s v="CUST036"/>
    <s v="Nancy Collins"/>
    <s v="P009"/>
    <s v="Monitor"/>
    <x v="0"/>
    <n v="5"/>
    <n v="249.99"/>
    <s v="Credit Card"/>
    <x v="3"/>
    <x v="2"/>
    <d v="2021-11-25T00:00:00"/>
    <n v="1249.95"/>
    <n v="1629"/>
    <n v="732"/>
  </r>
  <r>
    <s v="TRX0040"/>
    <x v="14"/>
    <s v="CUST022"/>
    <s v="Susan Green"/>
    <s v="P007"/>
    <s v="Desk"/>
    <x v="2"/>
    <n v="5"/>
    <n v="299.99"/>
    <s v="PayPal"/>
    <x v="4"/>
    <x v="0"/>
    <d v="2023-08-30T00:00:00"/>
    <n v="1499.95"/>
    <n v="986"/>
    <n v="730"/>
  </r>
  <r>
    <s v="TRX0235"/>
    <x v="14"/>
    <s v="CUST014"/>
    <s v="Linda Martin"/>
    <s v="P004"/>
    <s v="Coffee Maker"/>
    <x v="1"/>
    <n v="3"/>
    <n v="79.989999999999995"/>
    <s v="PayPal"/>
    <x v="4"/>
    <x v="1"/>
    <d v="2023-03-27T00:00:00"/>
    <n v="239.97"/>
    <n v="1142"/>
    <n v="730"/>
  </r>
  <r>
    <s v="TRX0004"/>
    <x v="14"/>
    <s v="CUST012"/>
    <s v="Patricia Moore"/>
    <s v="P010"/>
    <s v="Keyboard"/>
    <x v="0"/>
    <n v="5"/>
    <n v="89.99"/>
    <s v="Cash"/>
    <x v="2"/>
    <x v="1"/>
    <d v="2022-12-24T00:00:00"/>
    <n v="449.95"/>
    <n v="1235"/>
    <n v="730"/>
  </r>
  <r>
    <s v="TRX0063"/>
    <x v="15"/>
    <s v="CUST030"/>
    <s v="Helen Roberts"/>
    <s v="P005"/>
    <s v="Blender"/>
    <x v="1"/>
    <n v="2"/>
    <n v="59.99"/>
    <s v="Debit Card"/>
    <x v="0"/>
    <x v="2"/>
    <d v="2023-10-15T00:00:00"/>
    <n v="119.98"/>
    <n v="940"/>
    <n v="729"/>
  </r>
  <r>
    <s v="TRX0241"/>
    <x v="16"/>
    <s v="CUST029"/>
    <s v="Edward Mitchell"/>
    <s v="P005"/>
    <s v="Blender"/>
    <x v="1"/>
    <n v="4"/>
    <n v="59.99"/>
    <s v="Debit Card"/>
    <x v="4"/>
    <x v="2"/>
    <d v="2022-11-02T00:00:00"/>
    <n v="239.96"/>
    <n v="1287"/>
    <n v="727"/>
  </r>
  <r>
    <s v="TRX0029"/>
    <x v="16"/>
    <s v="CUST017"/>
    <s v="Charles Allen"/>
    <s v="P006"/>
    <s v="Office Chair"/>
    <x v="2"/>
    <n v="5"/>
    <n v="199.99"/>
    <s v="Cash"/>
    <x v="1"/>
    <x v="2"/>
    <d v="2021-08-04T00:00:00"/>
    <n v="999.95"/>
    <n v="1742"/>
    <n v="727"/>
  </r>
  <r>
    <s v="TRX0194"/>
    <x v="17"/>
    <s v="CUST006"/>
    <s v="Lisa Anderson"/>
    <s v="P008"/>
    <s v="Bookshelf"/>
    <x v="2"/>
    <n v="2"/>
    <n v="149.99"/>
    <s v="Credit Card"/>
    <x v="3"/>
    <x v="0"/>
    <d v="2022-09-19T00:00:00"/>
    <n v="299.98"/>
    <n v="1331"/>
    <n v="726"/>
  </r>
  <r>
    <s v="TRX0130"/>
    <x v="18"/>
    <s v="CUST002"/>
    <s v="Emma Wilson"/>
    <s v="P008"/>
    <s v="Bookshelf"/>
    <x v="2"/>
    <n v="3"/>
    <n v="149.99"/>
    <s v="Credit Card"/>
    <x v="3"/>
    <x v="1"/>
    <d v="2023-05-22T00:00:00"/>
    <n v="449.97"/>
    <n v="1086"/>
    <n v="724"/>
  </r>
  <r>
    <s v="TRX0041"/>
    <x v="19"/>
    <s v="CUST021"/>
    <s v="Kevin Scott"/>
    <s v="P001"/>
    <s v="Laptop"/>
    <x v="0"/>
    <n v="1"/>
    <n v="899.99"/>
    <s v="Credit Card"/>
    <x v="3"/>
    <x v="1"/>
    <d v="2022-01-17T00:00:00"/>
    <n v="899.99"/>
    <n v="1576"/>
    <n v="722"/>
  </r>
  <r>
    <s v="TRX0232"/>
    <x v="20"/>
    <s v="CUST012"/>
    <s v="Patricia Moore"/>
    <s v="P007"/>
    <s v="Desk"/>
    <x v="2"/>
    <n v="3"/>
    <n v="299.99"/>
    <s v="Credit Card"/>
    <x v="4"/>
    <x v="0"/>
    <d v="2022-09-20T00:00:00"/>
    <n v="899.97"/>
    <n v="1330"/>
    <n v="720"/>
  </r>
  <r>
    <s v="TRX0021"/>
    <x v="21"/>
    <s v="CUST006"/>
    <s v="Lisa Anderson"/>
    <s v="P004"/>
    <s v="Coffee Maker"/>
    <x v="1"/>
    <n v="3"/>
    <n v="79.989999999999995"/>
    <s v="Cash"/>
    <x v="1"/>
    <x v="0"/>
    <d v="2023-04-30T00:00:00"/>
    <n v="239.97"/>
    <n v="1108"/>
    <n v="719"/>
  </r>
  <r>
    <s v="TRX0245"/>
    <x v="22"/>
    <s v="CUST031"/>
    <s v="Steven Turner"/>
    <s v="P006"/>
    <s v="Office Chair"/>
    <x v="2"/>
    <n v="3"/>
    <n v="199.99"/>
    <s v="Credit Card"/>
    <x v="2"/>
    <x v="1"/>
    <d v="2024-01-01T00:00:00"/>
    <n v="599.97"/>
    <n v="862"/>
    <n v="716"/>
  </r>
  <r>
    <s v="TRX0015"/>
    <x v="23"/>
    <s v="CUST008"/>
    <s v="Jennifer Taylor"/>
    <s v="P002"/>
    <s v="Smartphone"/>
    <x v="0"/>
    <n v="5"/>
    <n v="699.99"/>
    <s v="PayPal"/>
    <x v="3"/>
    <x v="2"/>
    <d v="2021-07-30T00:00:00"/>
    <n v="3499.95"/>
    <n v="1747"/>
    <n v="714"/>
  </r>
  <r>
    <s v="TRX0202"/>
    <x v="24"/>
    <s v="CUST035"/>
    <s v="Harry Morgan"/>
    <s v="P010"/>
    <s v="Keyboard"/>
    <x v="0"/>
    <n v="3"/>
    <n v="89.99"/>
    <s v="PayPal"/>
    <x v="0"/>
    <x v="1"/>
    <d v="2023-07-13T00:00:00"/>
    <n v="269.97000000000003"/>
    <n v="1034"/>
    <n v="713"/>
  </r>
  <r>
    <s v="TRX0042"/>
    <x v="25"/>
    <s v="CUST019"/>
    <s v="Daniel King"/>
    <s v="P004"/>
    <s v="Coffee Maker"/>
    <x v="1"/>
    <n v="1"/>
    <n v="79.989999999999995"/>
    <s v="Cash"/>
    <x v="2"/>
    <x v="2"/>
    <d v="2022-12-22T00:00:00"/>
    <n v="79.989999999999995"/>
    <n v="1237"/>
    <n v="711"/>
  </r>
  <r>
    <s v="TRX0128"/>
    <x v="26"/>
    <s v="CUST040"/>
    <s v="Sharon Butler"/>
    <s v="P005"/>
    <s v="Blender"/>
    <x v="1"/>
    <n v="2"/>
    <n v="59.99"/>
    <s v="Cash"/>
    <x v="3"/>
    <x v="0"/>
    <d v="2024-04-08T00:00:00"/>
    <n v="119.98"/>
    <n v="764"/>
    <n v="710"/>
  </r>
  <r>
    <s v="TRX0117"/>
    <x v="26"/>
    <s v="CUST017"/>
    <s v="Charles Allen"/>
    <s v="P010"/>
    <s v="Keyboard"/>
    <x v="0"/>
    <n v="1"/>
    <n v="89.99"/>
    <s v="Cash"/>
    <x v="2"/>
    <x v="0"/>
    <d v="2023-08-03T00:00:00"/>
    <n v="89.99"/>
    <n v="1013"/>
    <n v="710"/>
  </r>
  <r>
    <s v="TRX0208"/>
    <x v="27"/>
    <s v="CUST004"/>
    <s v="Sarah Davis"/>
    <s v="P010"/>
    <s v="Keyboard"/>
    <x v="0"/>
    <n v="5"/>
    <n v="89.99"/>
    <s v="Credit Card"/>
    <x v="4"/>
    <x v="2"/>
    <d v="2022-01-26T00:00:00"/>
    <n v="449.95"/>
    <n v="1567"/>
    <n v="708"/>
  </r>
  <r>
    <s v="TRX0234"/>
    <x v="28"/>
    <s v="CUST013"/>
    <s v="Joseph Jackson"/>
    <s v="P009"/>
    <s v="Monitor"/>
    <x v="0"/>
    <n v="5"/>
    <n v="249.99"/>
    <s v="Credit Card"/>
    <x v="4"/>
    <x v="2"/>
    <d v="2022-05-26T00:00:00"/>
    <n v="1249.95"/>
    <n v="1447"/>
    <n v="705"/>
  </r>
  <r>
    <s v="TRX0121"/>
    <x v="28"/>
    <s v="CUST028"/>
    <s v="Betty Campbell"/>
    <s v="P010"/>
    <s v="Keyboard"/>
    <x v="0"/>
    <n v="1"/>
    <n v="89.99"/>
    <s v="Credit Card"/>
    <x v="1"/>
    <x v="2"/>
    <d v="2022-01-21T00:00:00"/>
    <n v="89.99"/>
    <n v="1572"/>
    <n v="705"/>
  </r>
  <r>
    <s v="TRX0220"/>
    <x v="29"/>
    <s v="CUST003"/>
    <s v="Michael Brown"/>
    <s v="P008"/>
    <s v="Bookshelf"/>
    <x v="2"/>
    <n v="2"/>
    <n v="149.99"/>
    <s v="Cash"/>
    <x v="4"/>
    <x v="1"/>
    <d v="2022-03-25T00:00:00"/>
    <n v="299.98"/>
    <n v="1509"/>
    <n v="704"/>
  </r>
  <r>
    <s v="TRX0093"/>
    <x v="30"/>
    <s v="CUST050"/>
    <s v="Julie Foster"/>
    <s v="P005"/>
    <s v="Blender"/>
    <x v="1"/>
    <n v="4"/>
    <n v="59.99"/>
    <s v="Cash"/>
    <x v="4"/>
    <x v="2"/>
    <d v="2021-08-27T00:00:00"/>
    <n v="239.96"/>
    <n v="1719"/>
    <n v="702"/>
  </r>
  <r>
    <s v="TRX0088"/>
    <x v="31"/>
    <s v="CUST006"/>
    <s v="Lisa Anderson"/>
    <s v="P010"/>
    <s v="Keyboard"/>
    <x v="0"/>
    <n v="5"/>
    <n v="89.99"/>
    <s v="Cash"/>
    <x v="0"/>
    <x v="1"/>
    <d v="2022-01-18T00:00:00"/>
    <n v="449.95"/>
    <n v="1575"/>
    <n v="698"/>
  </r>
  <r>
    <s v="TRX0115"/>
    <x v="32"/>
    <s v="CUST012"/>
    <s v="Patricia Moore"/>
    <s v="P010"/>
    <s v="Keyboard"/>
    <x v="0"/>
    <n v="2"/>
    <n v="89.99"/>
    <s v="Credit Card"/>
    <x v="1"/>
    <x v="1"/>
    <d v="2021-10-02T00:00:00"/>
    <n v="179.98"/>
    <n v="1683"/>
    <n v="695"/>
  </r>
  <r>
    <s v="TRX0154"/>
    <x v="32"/>
    <s v="CUST023"/>
    <s v="Paul Baker"/>
    <s v="P001"/>
    <s v="Laptop"/>
    <x v="0"/>
    <n v="5"/>
    <n v="899.99"/>
    <s v="Credit Card"/>
    <x v="1"/>
    <x v="2"/>
    <d v="2023-02-17T00:00:00"/>
    <n v="4499.95"/>
    <n v="1180"/>
    <n v="695"/>
  </r>
  <r>
    <s v="TRX0044"/>
    <x v="32"/>
    <s v="CUST029"/>
    <s v="Edward Mitchell"/>
    <s v="P001"/>
    <s v="Laptop"/>
    <x v="0"/>
    <n v="5"/>
    <n v="899.99"/>
    <s v="PayPal"/>
    <x v="4"/>
    <x v="1"/>
    <d v="2023-12-18T00:00:00"/>
    <n v="4499.95"/>
    <n v="876"/>
    <n v="695"/>
  </r>
  <r>
    <s v="TRX0061"/>
    <x v="33"/>
    <s v="CUST028"/>
    <s v="Betty Campbell"/>
    <s v="P005"/>
    <s v="Blender"/>
    <x v="1"/>
    <n v="1"/>
    <n v="59.99"/>
    <s v="Debit Card"/>
    <x v="3"/>
    <x v="1"/>
    <d v="2023-09-21T00:00:00"/>
    <n v="59.99"/>
    <n v="964"/>
    <n v="694"/>
  </r>
  <r>
    <s v="TRX0150"/>
    <x v="33"/>
    <s v="CUST008"/>
    <s v="Jennifer Taylor"/>
    <s v="P007"/>
    <s v="Desk"/>
    <x v="2"/>
    <n v="2"/>
    <n v="299.99"/>
    <s v="Debit Card"/>
    <x v="4"/>
    <x v="2"/>
    <d v="2023-11-23T00:00:00"/>
    <n v="599.98"/>
    <n v="901"/>
    <n v="694"/>
  </r>
  <r>
    <s v="TRX0025"/>
    <x v="34"/>
    <s v="CUST049"/>
    <s v="Raymond Ross"/>
    <s v="P010"/>
    <s v="Keyboard"/>
    <x v="0"/>
    <n v="4"/>
    <n v="89.99"/>
    <s v="Debit Card"/>
    <x v="1"/>
    <x v="0"/>
    <d v="2023-12-21T00:00:00"/>
    <n v="359.96"/>
    <n v="873"/>
    <n v="686"/>
  </r>
  <r>
    <s v="TRX0078"/>
    <x v="35"/>
    <s v="CUST021"/>
    <s v="Kevin Scott"/>
    <s v="P004"/>
    <s v="Coffee Maker"/>
    <x v="1"/>
    <n v="1"/>
    <n v="79.989999999999995"/>
    <s v="PayPal"/>
    <x v="0"/>
    <x v="1"/>
    <d v="2024-03-01T00:00:00"/>
    <n v="79.989999999999995"/>
    <n v="802"/>
    <n v="685"/>
  </r>
  <r>
    <s v="TRX0007"/>
    <x v="35"/>
    <s v="CUST009"/>
    <s v="Robert Thomas"/>
    <s v="P010"/>
    <s v="Keyboard"/>
    <x v="0"/>
    <n v="2"/>
    <n v="89.99"/>
    <s v="Cash"/>
    <x v="3"/>
    <x v="0"/>
    <d v="2021-08-30T00:00:00"/>
    <n v="179.98"/>
    <n v="1716"/>
    <n v="685"/>
  </r>
  <r>
    <s v="TRX0184"/>
    <x v="36"/>
    <s v="CUST046"/>
    <s v="Kathleen Bennett"/>
    <s v="P002"/>
    <s v="Smartphone"/>
    <x v="0"/>
    <n v="3"/>
    <n v="699.99"/>
    <s v="Credit Card"/>
    <x v="4"/>
    <x v="1"/>
    <d v="2023-06-25T00:00:00"/>
    <n v="2099.9699999999998"/>
    <n v="1052"/>
    <n v="683"/>
  </r>
  <r>
    <s v="TRX0104"/>
    <x v="36"/>
    <s v="CUST012"/>
    <s v="Patricia Moore"/>
    <s v="P001"/>
    <s v="Laptop"/>
    <x v="0"/>
    <n v="4"/>
    <n v="899.99"/>
    <s v="Credit Card"/>
    <x v="4"/>
    <x v="1"/>
    <d v="2023-03-08T00:00:00"/>
    <n v="3599.96"/>
    <n v="1161"/>
    <n v="683"/>
  </r>
  <r>
    <s v="TRX0127"/>
    <x v="37"/>
    <s v="CUST030"/>
    <s v="Helen Roberts"/>
    <s v="P008"/>
    <s v="Bookshelf"/>
    <x v="2"/>
    <n v="1"/>
    <n v="149.99"/>
    <s v="PayPal"/>
    <x v="4"/>
    <x v="0"/>
    <d v="2022-10-17T00:00:00"/>
    <n v="149.99"/>
    <n v="1303"/>
    <n v="682"/>
  </r>
  <r>
    <s v="TRX0096"/>
    <x v="38"/>
    <s v="CUST002"/>
    <s v="Emma Wilson"/>
    <s v="P010"/>
    <s v="Keyboard"/>
    <x v="0"/>
    <n v="2"/>
    <n v="89.99"/>
    <s v="PayPal"/>
    <x v="0"/>
    <x v="1"/>
    <d v="2023-12-15T00:00:00"/>
    <n v="179.98"/>
    <n v="879"/>
    <n v="680"/>
  </r>
  <r>
    <s v="TRX0192"/>
    <x v="39"/>
    <s v="CUST017"/>
    <s v="Charles Allen"/>
    <s v="P010"/>
    <s v="Keyboard"/>
    <x v="0"/>
    <n v="1"/>
    <n v="89.99"/>
    <s v="PayPal"/>
    <x v="3"/>
    <x v="2"/>
    <d v="2022-08-29T00:00:00"/>
    <n v="89.99"/>
    <n v="1352"/>
    <n v="679"/>
  </r>
  <r>
    <s v="TRX0052"/>
    <x v="40"/>
    <s v="CUST022"/>
    <s v="Susan Green"/>
    <s v="P010"/>
    <s v="Keyboard"/>
    <x v="0"/>
    <n v="1"/>
    <n v="89.99"/>
    <s v="Cash"/>
    <x v="1"/>
    <x v="2"/>
    <d v="2022-02-19T00:00:00"/>
    <n v="89.99"/>
    <n v="1543"/>
    <n v="678"/>
  </r>
  <r>
    <s v="TRX0070"/>
    <x v="40"/>
    <s v="CUST007"/>
    <s v="David Martinez"/>
    <s v="P004"/>
    <s v="Coffee Maker"/>
    <x v="1"/>
    <n v="5"/>
    <n v="79.989999999999995"/>
    <s v="Debit Card"/>
    <x v="0"/>
    <x v="0"/>
    <d v="2023-02-24T00:00:00"/>
    <n v="399.95"/>
    <n v="1173"/>
    <n v="678"/>
  </r>
  <r>
    <s v="TRX0086"/>
    <x v="41"/>
    <s v="CUST020"/>
    <s v="Margaret Wright"/>
    <s v="P008"/>
    <s v="Bookshelf"/>
    <x v="2"/>
    <n v="1"/>
    <n v="149.99"/>
    <s v="PayPal"/>
    <x v="2"/>
    <x v="0"/>
    <d v="2021-08-13T00:00:00"/>
    <n v="149.99"/>
    <n v="1733"/>
    <n v="673"/>
  </r>
  <r>
    <s v="TRX0113"/>
    <x v="41"/>
    <s v="CUST003"/>
    <s v="Michael Brown"/>
    <s v="P002"/>
    <s v="Smartphone"/>
    <x v="0"/>
    <n v="2"/>
    <n v="699.99"/>
    <s v="PayPal"/>
    <x v="4"/>
    <x v="1"/>
    <d v="2024-04-07T00:00:00"/>
    <n v="1399.98"/>
    <n v="765"/>
    <n v="673"/>
  </r>
  <r>
    <s v="TRX0114"/>
    <x v="41"/>
    <s v="CUST018"/>
    <s v="Barbara Young"/>
    <s v="P010"/>
    <s v="Keyboard"/>
    <x v="0"/>
    <n v="5"/>
    <n v="89.99"/>
    <s v="Debit Card"/>
    <x v="2"/>
    <x v="1"/>
    <d v="2023-08-23T00:00:00"/>
    <n v="449.95"/>
    <n v="993"/>
    <n v="673"/>
  </r>
  <r>
    <s v="TRX0136"/>
    <x v="42"/>
    <s v="CUST049"/>
    <s v="Raymond Ross"/>
    <s v="P005"/>
    <s v="Blender"/>
    <x v="1"/>
    <n v="4"/>
    <n v="59.99"/>
    <s v="Cash"/>
    <x v="1"/>
    <x v="2"/>
    <d v="2021-11-09T00:00:00"/>
    <n v="239.96"/>
    <n v="1645"/>
    <n v="672"/>
  </r>
  <r>
    <s v="TRX0018"/>
    <x v="43"/>
    <s v="CUST013"/>
    <s v="Joseph Jackson"/>
    <s v="P003"/>
    <s v="Headphones"/>
    <x v="0"/>
    <n v="1"/>
    <n v="149.99"/>
    <s v="Cash"/>
    <x v="0"/>
    <x v="2"/>
    <d v="2022-12-14T00:00:00"/>
    <n v="149.99"/>
    <n v="1245"/>
    <n v="670"/>
  </r>
  <r>
    <s v="TRX0141"/>
    <x v="43"/>
    <s v="CUST033"/>
    <s v="Frank Torres"/>
    <s v="P007"/>
    <s v="Desk"/>
    <x v="2"/>
    <n v="1"/>
    <n v="299.99"/>
    <s v="Credit Card"/>
    <x v="2"/>
    <x v="1"/>
    <d v="2022-11-26T00:00:00"/>
    <n v="299.99"/>
    <n v="1263"/>
    <n v="670"/>
  </r>
  <r>
    <s v="TRX0097"/>
    <x v="44"/>
    <s v="CUST033"/>
    <s v="Frank Torres"/>
    <s v="P006"/>
    <s v="Office Chair"/>
    <x v="2"/>
    <n v="2"/>
    <n v="199.99"/>
    <s v="Cash"/>
    <x v="2"/>
    <x v="0"/>
    <d v="2021-12-11T00:00:00"/>
    <n v="399.98"/>
    <n v="1613"/>
    <n v="667"/>
  </r>
  <r>
    <s v="TRX0169"/>
    <x v="45"/>
    <s v="CUST047"/>
    <s v="Gerald Murphy"/>
    <s v="P005"/>
    <s v="Blender"/>
    <x v="1"/>
    <n v="3"/>
    <n v="59.99"/>
    <s v="Credit Card"/>
    <x v="3"/>
    <x v="0"/>
    <d v="2023-07-23T00:00:00"/>
    <n v="179.97"/>
    <n v="1024"/>
    <n v="664"/>
  </r>
  <r>
    <s v="TRX0216"/>
    <x v="45"/>
    <s v="CUST041"/>
    <s v="Peter Richardson"/>
    <s v="P008"/>
    <s v="Bookshelf"/>
    <x v="2"/>
    <n v="3"/>
    <n v="149.99"/>
    <s v="Cash"/>
    <x v="0"/>
    <x v="1"/>
    <d v="2023-09-30T00:00:00"/>
    <n v="449.97"/>
    <n v="955"/>
    <n v="664"/>
  </r>
  <r>
    <s v="TRX0131"/>
    <x v="46"/>
    <s v="CUST026"/>
    <s v="Karen Hill"/>
    <s v="P006"/>
    <s v="Office Chair"/>
    <x v="2"/>
    <n v="3"/>
    <n v="199.99"/>
    <s v="Cash"/>
    <x v="2"/>
    <x v="1"/>
    <d v="2023-11-24T00:00:00"/>
    <n v="599.97"/>
    <n v="900"/>
    <n v="663"/>
  </r>
  <r>
    <s v="TRX0162"/>
    <x v="47"/>
    <s v="CUST040"/>
    <s v="Sharon Butler"/>
    <s v="P001"/>
    <s v="Laptop"/>
    <x v="0"/>
    <n v="1"/>
    <n v="899.99"/>
    <s v="Cash"/>
    <x v="0"/>
    <x v="2"/>
    <d v="2023-09-10T00:00:00"/>
    <n v="899.99"/>
    <n v="975"/>
    <n v="658"/>
  </r>
  <r>
    <s v="TRX0244"/>
    <x v="48"/>
    <s v="CUST013"/>
    <s v="Joseph Jackson"/>
    <s v="P001"/>
    <s v="Laptop"/>
    <x v="0"/>
    <n v="5"/>
    <n v="899.99"/>
    <s v="Debit Card"/>
    <x v="1"/>
    <x v="2"/>
    <d v="2022-12-04T00:00:00"/>
    <n v="4499.95"/>
    <n v="1255"/>
    <n v="657"/>
  </r>
  <r>
    <s v="TRX0006"/>
    <x v="49"/>
    <s v="CUST007"/>
    <s v="David Martinez"/>
    <s v="P005"/>
    <s v="Blender"/>
    <x v="1"/>
    <n v="2"/>
    <n v="59.99"/>
    <s v="Cash"/>
    <x v="2"/>
    <x v="2"/>
    <d v="2023-08-14T00:00:00"/>
    <n v="119.98"/>
    <n v="1002"/>
    <n v="656"/>
  </r>
  <r>
    <s v="TRX0215"/>
    <x v="49"/>
    <s v="CUST047"/>
    <s v="Gerald Murphy"/>
    <s v="P009"/>
    <s v="Monitor"/>
    <x v="0"/>
    <n v="4"/>
    <n v="249.99"/>
    <s v="Debit Card"/>
    <x v="0"/>
    <x v="2"/>
    <d v="2023-07-20T00:00:00"/>
    <n v="999.96"/>
    <n v="1027"/>
    <n v="656"/>
  </r>
  <r>
    <s v="TRX0080"/>
    <x v="50"/>
    <s v="CUST018"/>
    <s v="Barbara Young"/>
    <s v="P009"/>
    <s v="Monitor"/>
    <x v="0"/>
    <n v="2"/>
    <n v="249.99"/>
    <s v="Cash"/>
    <x v="2"/>
    <x v="1"/>
    <d v="2023-08-26T00:00:00"/>
    <n v="499.98"/>
    <n v="990"/>
    <n v="654"/>
  </r>
  <r>
    <s v="TRX0228"/>
    <x v="50"/>
    <s v="CUST019"/>
    <s v="Daniel King"/>
    <s v="P007"/>
    <s v="Desk"/>
    <x v="2"/>
    <n v="1"/>
    <n v="299.99"/>
    <s v="Cash"/>
    <x v="1"/>
    <x v="0"/>
    <d v="2023-02-25T00:00:00"/>
    <n v="299.99"/>
    <n v="1172"/>
    <n v="654"/>
  </r>
  <r>
    <s v="TRX0157"/>
    <x v="51"/>
    <s v="CUST025"/>
    <s v="Mark Carter"/>
    <s v="P010"/>
    <s v="Keyboard"/>
    <x v="0"/>
    <n v="2"/>
    <n v="89.99"/>
    <s v="PayPal"/>
    <x v="1"/>
    <x v="0"/>
    <d v="2023-02-19T00:00:00"/>
    <n v="179.98"/>
    <n v="1178"/>
    <n v="653"/>
  </r>
  <r>
    <s v="TRX0002"/>
    <x v="51"/>
    <s v="CUST019"/>
    <s v="Daniel King"/>
    <s v="P007"/>
    <s v="Desk"/>
    <x v="2"/>
    <n v="3"/>
    <n v="299.99"/>
    <s v="Cash"/>
    <x v="0"/>
    <x v="0"/>
    <d v="2022-06-20T00:00:00"/>
    <n v="899.97"/>
    <n v="1422"/>
    <n v="653"/>
  </r>
  <r>
    <s v="TRX0217"/>
    <x v="52"/>
    <s v="CUST025"/>
    <s v="Mark Carter"/>
    <s v="P002"/>
    <s v="Smartphone"/>
    <x v="0"/>
    <n v="2"/>
    <n v="699.99"/>
    <s v="Credit Card"/>
    <x v="2"/>
    <x v="1"/>
    <d v="2023-03-14T00:00:00"/>
    <n v="1399.98"/>
    <n v="1155"/>
    <n v="651"/>
  </r>
  <r>
    <s v="TRX0249"/>
    <x v="53"/>
    <s v="CUST030"/>
    <s v="Helen Roberts"/>
    <s v="P001"/>
    <s v="Laptop"/>
    <x v="0"/>
    <n v="4"/>
    <n v="899.99"/>
    <s v="Debit Card"/>
    <x v="1"/>
    <x v="2"/>
    <d v="2021-11-23T00:00:00"/>
    <n v="3599.96"/>
    <n v="1631"/>
    <n v="650"/>
  </r>
  <r>
    <s v="TRX0065"/>
    <x v="54"/>
    <s v="CUST016"/>
    <s v="Elizabeth Hall"/>
    <s v="P008"/>
    <s v="Bookshelf"/>
    <x v="2"/>
    <n v="2"/>
    <n v="149.99"/>
    <s v="Credit Card"/>
    <x v="3"/>
    <x v="0"/>
    <d v="2021-12-12T00:00:00"/>
    <n v="299.98"/>
    <n v="1612"/>
    <n v="645"/>
  </r>
  <r>
    <s v="TRX0176"/>
    <x v="55"/>
    <s v="CUST044"/>
    <s v="Cynthia Price"/>
    <s v="P008"/>
    <s v="Bookshelf"/>
    <x v="2"/>
    <n v="2"/>
    <n v="149.99"/>
    <s v="Debit Card"/>
    <x v="4"/>
    <x v="2"/>
    <d v="2022-04-16T00:00:00"/>
    <n v="299.98"/>
    <n v="1487"/>
    <n v="644"/>
  </r>
  <r>
    <s v="TRX0101"/>
    <x v="56"/>
    <s v="CUST010"/>
    <s v="Maria Garcia"/>
    <s v="P010"/>
    <s v="Keyboard"/>
    <x v="0"/>
    <n v="1"/>
    <n v="89.99"/>
    <s v="Credit Card"/>
    <x v="2"/>
    <x v="2"/>
    <d v="2024-04-11T00:00:00"/>
    <n v="89.99"/>
    <n v="761"/>
    <n v="641"/>
  </r>
  <r>
    <s v="TRX0205"/>
    <x v="57"/>
    <s v="CUST025"/>
    <s v="Mark Carter"/>
    <s v="P007"/>
    <s v="Desk"/>
    <x v="2"/>
    <n v="5"/>
    <n v="299.99"/>
    <s v="Credit Card"/>
    <x v="2"/>
    <x v="0"/>
    <d v="2023-02-08T00:00:00"/>
    <n v="1499.95"/>
    <n v="1189"/>
    <n v="639"/>
  </r>
  <r>
    <s v="TRX0020"/>
    <x v="58"/>
    <s v="CUST007"/>
    <s v="David Martinez"/>
    <s v="P003"/>
    <s v="Headphones"/>
    <x v="0"/>
    <n v="4"/>
    <n v="149.99"/>
    <s v="Debit Card"/>
    <x v="1"/>
    <x v="1"/>
    <d v="2022-09-16T00:00:00"/>
    <n v="599.96"/>
    <n v="1334"/>
    <n v="637"/>
  </r>
  <r>
    <s v="TRX0075"/>
    <x v="58"/>
    <s v="CUST020"/>
    <s v="Margaret Wright"/>
    <s v="P009"/>
    <s v="Monitor"/>
    <x v="0"/>
    <n v="5"/>
    <n v="249.99"/>
    <s v="PayPal"/>
    <x v="4"/>
    <x v="1"/>
    <d v="2022-08-09T00:00:00"/>
    <n v="1249.95"/>
    <n v="1372"/>
    <n v="637"/>
  </r>
  <r>
    <s v="TRX0098"/>
    <x v="58"/>
    <s v="CUST026"/>
    <s v="Karen Hill"/>
    <s v="P009"/>
    <s v="Monitor"/>
    <x v="0"/>
    <n v="3"/>
    <n v="249.99"/>
    <s v="PayPal"/>
    <x v="2"/>
    <x v="1"/>
    <d v="2021-09-26T00:00:00"/>
    <n v="749.97"/>
    <n v="1689"/>
    <n v="637"/>
  </r>
  <r>
    <s v="TRX0247"/>
    <x v="58"/>
    <s v="CUST046"/>
    <s v="Kathleen Bennett"/>
    <s v="P006"/>
    <s v="Office Chair"/>
    <x v="2"/>
    <n v="4"/>
    <n v="199.99"/>
    <s v="Cash"/>
    <x v="2"/>
    <x v="2"/>
    <d v="2021-09-19T00:00:00"/>
    <n v="799.96"/>
    <n v="1696"/>
    <n v="637"/>
  </r>
  <r>
    <s v="TRX0027"/>
    <x v="59"/>
    <s v="CUST028"/>
    <s v="Betty Campbell"/>
    <s v="P006"/>
    <s v="Office Chair"/>
    <x v="2"/>
    <n v="5"/>
    <n v="199.99"/>
    <s v="Cash"/>
    <x v="2"/>
    <x v="1"/>
    <d v="2023-03-06T00:00:00"/>
    <n v="999.95"/>
    <n v="1163"/>
    <n v="635"/>
  </r>
  <r>
    <s v="TRX0140"/>
    <x v="60"/>
    <s v="CUST025"/>
    <s v="Mark Carter"/>
    <s v="P010"/>
    <s v="Keyboard"/>
    <x v="0"/>
    <n v="2"/>
    <n v="89.99"/>
    <s v="Cash"/>
    <x v="4"/>
    <x v="1"/>
    <d v="2023-02-15T00:00:00"/>
    <n v="179.98"/>
    <n v="1182"/>
    <n v="632"/>
  </r>
  <r>
    <s v="TRX0132"/>
    <x v="61"/>
    <s v="CUST047"/>
    <s v="Gerald Murphy"/>
    <s v="P001"/>
    <s v="Laptop"/>
    <x v="0"/>
    <n v="5"/>
    <n v="899.99"/>
    <s v="Debit Card"/>
    <x v="4"/>
    <x v="0"/>
    <d v="2021-11-26T00:00:00"/>
    <n v="4499.95"/>
    <n v="1628"/>
    <n v="631"/>
  </r>
  <r>
    <s v="TRX0031"/>
    <x v="61"/>
    <s v="CUST036"/>
    <s v="Nancy Collins"/>
    <s v="P003"/>
    <s v="Headphones"/>
    <x v="0"/>
    <n v="3"/>
    <n v="149.99"/>
    <s v="PayPal"/>
    <x v="4"/>
    <x v="0"/>
    <d v="2022-01-13T00:00:00"/>
    <n v="449.97"/>
    <n v="1580"/>
    <n v="631"/>
  </r>
  <r>
    <s v="TRX0236"/>
    <x v="62"/>
    <s v="CUST044"/>
    <s v="Cynthia Price"/>
    <s v="P008"/>
    <s v="Bookshelf"/>
    <x v="2"/>
    <n v="5"/>
    <n v="149.99"/>
    <s v="Credit Card"/>
    <x v="0"/>
    <x v="0"/>
    <d v="2024-01-19T00:00:00"/>
    <n v="749.95"/>
    <n v="844"/>
    <n v="628"/>
  </r>
  <r>
    <s v="TRX0001"/>
    <x v="63"/>
    <s v="CUST039"/>
    <s v="Lawrence Reed"/>
    <s v="P004"/>
    <s v="Coffee Maker"/>
    <x v="1"/>
    <n v="3"/>
    <n v="79.989999999999995"/>
    <s v="Cash"/>
    <x v="0"/>
    <x v="1"/>
    <d v="2022-08-06T00:00:00"/>
    <n v="239.97"/>
    <n v="1375"/>
    <n v="626"/>
  </r>
  <r>
    <s v="TRX0037"/>
    <x v="63"/>
    <s v="CUST035"/>
    <s v="Harry Morgan"/>
    <s v="P009"/>
    <s v="Monitor"/>
    <x v="0"/>
    <n v="2"/>
    <n v="249.99"/>
    <s v="Cash"/>
    <x v="1"/>
    <x v="2"/>
    <d v="2022-01-11T00:00:00"/>
    <n v="499.98"/>
    <n v="1582"/>
    <n v="626"/>
  </r>
  <r>
    <s v="TRX0058"/>
    <x v="64"/>
    <s v="CUST047"/>
    <s v="Gerald Murphy"/>
    <s v="P002"/>
    <s v="Smartphone"/>
    <x v="0"/>
    <n v="1"/>
    <n v="699.99"/>
    <s v="Cash"/>
    <x v="0"/>
    <x v="1"/>
    <d v="2021-10-28T00:00:00"/>
    <n v="699.99"/>
    <n v="1657"/>
    <n v="622"/>
  </r>
  <r>
    <s v="TRX0170"/>
    <x v="64"/>
    <s v="CUST034"/>
    <s v="Carol Evans"/>
    <s v="P003"/>
    <s v="Headphones"/>
    <x v="0"/>
    <n v="3"/>
    <n v="149.99"/>
    <s v="Cash"/>
    <x v="3"/>
    <x v="1"/>
    <d v="2023-10-13T00:00:00"/>
    <n v="449.97"/>
    <n v="942"/>
    <n v="622"/>
  </r>
  <r>
    <s v="TRX0248"/>
    <x v="65"/>
    <s v="CUST032"/>
    <s v="Sandra Phillips"/>
    <s v="P002"/>
    <s v="Smartphone"/>
    <x v="0"/>
    <n v="2"/>
    <n v="699.99"/>
    <s v="Credit Card"/>
    <x v="2"/>
    <x v="1"/>
    <d v="2021-08-13T00:00:00"/>
    <n v="1399.98"/>
    <n v="1733"/>
    <n v="620"/>
  </r>
  <r>
    <s v="TRX0099"/>
    <x v="66"/>
    <s v="CUST034"/>
    <s v="Carol Evans"/>
    <s v="P009"/>
    <s v="Monitor"/>
    <x v="0"/>
    <n v="1"/>
    <n v="249.99"/>
    <s v="Credit Card"/>
    <x v="3"/>
    <x v="1"/>
    <d v="2022-05-04T00:00:00"/>
    <n v="249.99"/>
    <n v="1469"/>
    <n v="617"/>
  </r>
  <r>
    <s v="TRX0074"/>
    <x v="66"/>
    <s v="CUST023"/>
    <s v="Paul Baker"/>
    <s v="P009"/>
    <s v="Monitor"/>
    <x v="0"/>
    <n v="1"/>
    <n v="249.99"/>
    <s v="Debit Card"/>
    <x v="2"/>
    <x v="1"/>
    <d v="2024-02-10T00:00:00"/>
    <n v="249.99"/>
    <n v="822"/>
    <n v="617"/>
  </r>
  <r>
    <s v="TRX0225"/>
    <x v="67"/>
    <s v="CUST039"/>
    <s v="Lawrence Reed"/>
    <s v="P002"/>
    <s v="Smartphone"/>
    <x v="0"/>
    <n v="2"/>
    <n v="699.99"/>
    <s v="Debit Card"/>
    <x v="0"/>
    <x v="1"/>
    <d v="2022-11-05T00:00:00"/>
    <n v="1399.98"/>
    <n v="1284"/>
    <n v="616"/>
  </r>
  <r>
    <s v="TRX0100"/>
    <x v="68"/>
    <s v="CUST031"/>
    <s v="Steven Turner"/>
    <s v="P005"/>
    <s v="Blender"/>
    <x v="1"/>
    <n v="3"/>
    <n v="59.99"/>
    <s v="Credit Card"/>
    <x v="0"/>
    <x v="1"/>
    <d v="2022-06-05T00:00:00"/>
    <n v="179.97"/>
    <n v="1437"/>
    <n v="613"/>
  </r>
  <r>
    <s v="TRX0142"/>
    <x v="69"/>
    <s v="CUST002"/>
    <s v="Emma Wilson"/>
    <s v="P005"/>
    <s v="Blender"/>
    <x v="1"/>
    <n v="3"/>
    <n v="59.99"/>
    <s v="PayPal"/>
    <x v="4"/>
    <x v="2"/>
    <d v="2022-07-06T00:00:00"/>
    <n v="179.97"/>
    <n v="1406"/>
    <n v="610"/>
  </r>
  <r>
    <s v="TRX0112"/>
    <x v="69"/>
    <s v="CUST008"/>
    <s v="Jennifer Taylor"/>
    <s v="P004"/>
    <s v="Coffee Maker"/>
    <x v="1"/>
    <n v="4"/>
    <n v="79.989999999999995"/>
    <s v="Cash"/>
    <x v="2"/>
    <x v="0"/>
    <d v="2021-11-30T00:00:00"/>
    <n v="319.95999999999998"/>
    <n v="1624"/>
    <n v="610"/>
  </r>
  <r>
    <s v="TRX0161"/>
    <x v="70"/>
    <s v="CUST017"/>
    <s v="Charles Allen"/>
    <s v="P004"/>
    <s v="Coffee Maker"/>
    <x v="1"/>
    <n v="1"/>
    <n v="79.989999999999995"/>
    <s v="Cash"/>
    <x v="3"/>
    <x v="0"/>
    <d v="2022-05-12T00:00:00"/>
    <n v="79.989999999999995"/>
    <n v="1461"/>
    <n v="609"/>
  </r>
  <r>
    <s v="TRX0108"/>
    <x v="71"/>
    <s v="CUST024"/>
    <s v="Dorothy Nelson"/>
    <s v="P007"/>
    <s v="Desk"/>
    <x v="2"/>
    <n v="3"/>
    <n v="299.99"/>
    <s v="Credit Card"/>
    <x v="0"/>
    <x v="1"/>
    <d v="2021-10-25T00:00:00"/>
    <n v="899.97"/>
    <n v="1660"/>
    <n v="607"/>
  </r>
  <r>
    <s v="TRX0211"/>
    <x v="72"/>
    <s v="CUST046"/>
    <s v="Kathleen Bennett"/>
    <s v="P010"/>
    <s v="Keyboard"/>
    <x v="0"/>
    <n v="2"/>
    <n v="89.99"/>
    <s v="Credit Card"/>
    <x v="1"/>
    <x v="1"/>
    <d v="2022-03-21T00:00:00"/>
    <n v="179.98"/>
    <n v="1513"/>
    <n v="606"/>
  </r>
  <r>
    <s v="TRX0005"/>
    <x v="73"/>
    <s v="CUST042"/>
    <s v="Ruth Brooks"/>
    <s v="P003"/>
    <s v="Headphones"/>
    <x v="0"/>
    <n v="4"/>
    <n v="149.99"/>
    <s v="Cash"/>
    <x v="2"/>
    <x v="0"/>
    <d v="2022-12-14T00:00:00"/>
    <n v="599.96"/>
    <n v="1245"/>
    <n v="604"/>
  </r>
  <r>
    <s v="TRX0195"/>
    <x v="74"/>
    <s v="CUST026"/>
    <s v="Karen Hill"/>
    <s v="P009"/>
    <s v="Monitor"/>
    <x v="0"/>
    <n v="2"/>
    <n v="249.99"/>
    <s v="PayPal"/>
    <x v="1"/>
    <x v="0"/>
    <d v="2023-03-08T00:00:00"/>
    <n v="499.98"/>
    <n v="1161"/>
    <n v="603"/>
  </r>
  <r>
    <s v="TRX0054"/>
    <x v="74"/>
    <s v="CUST004"/>
    <s v="Sarah Davis"/>
    <s v="P006"/>
    <s v="Office Chair"/>
    <x v="2"/>
    <n v="4"/>
    <n v="199.99"/>
    <s v="Debit Card"/>
    <x v="4"/>
    <x v="0"/>
    <d v="2021-09-19T00:00:00"/>
    <n v="799.96"/>
    <n v="1696"/>
    <n v="603"/>
  </r>
  <r>
    <s v="TRX0077"/>
    <x v="75"/>
    <s v="CUST019"/>
    <s v="Daniel King"/>
    <s v="P010"/>
    <s v="Keyboard"/>
    <x v="0"/>
    <n v="5"/>
    <n v="89.99"/>
    <s v="Credit Card"/>
    <x v="4"/>
    <x v="1"/>
    <d v="2021-09-07T00:00:00"/>
    <n v="449.95"/>
    <n v="1708"/>
    <n v="600"/>
  </r>
  <r>
    <s v="TRX0111"/>
    <x v="75"/>
    <s v="CUST011"/>
    <s v="William White"/>
    <s v="P003"/>
    <s v="Headphones"/>
    <x v="0"/>
    <n v="1"/>
    <n v="149.99"/>
    <s v="PayPal"/>
    <x v="4"/>
    <x v="2"/>
    <d v="2021-10-13T00:00:00"/>
    <n v="149.99"/>
    <n v="1672"/>
    <n v="600"/>
  </r>
  <r>
    <s v="TRX0123"/>
    <x v="75"/>
    <s v="CUST041"/>
    <s v="Peter Richardson"/>
    <s v="P002"/>
    <s v="Smartphone"/>
    <x v="0"/>
    <n v="4"/>
    <n v="699.99"/>
    <s v="PayPal"/>
    <x v="1"/>
    <x v="0"/>
    <d v="2022-02-26T00:00:00"/>
    <n v="2799.96"/>
    <n v="1536"/>
    <n v="600"/>
  </r>
  <r>
    <s v="TRX0177"/>
    <x v="76"/>
    <s v="CUST032"/>
    <s v="Sandra Phillips"/>
    <s v="P001"/>
    <s v="Laptop"/>
    <x v="0"/>
    <n v="3"/>
    <n v="899.99"/>
    <s v="Credit Card"/>
    <x v="2"/>
    <x v="2"/>
    <d v="2023-08-19T00:00:00"/>
    <n v="2699.97"/>
    <n v="997"/>
    <n v="595"/>
  </r>
  <r>
    <s v="TRX0119"/>
    <x v="77"/>
    <s v="CUST014"/>
    <s v="Linda Martin"/>
    <s v="P008"/>
    <s v="Bookshelf"/>
    <x v="2"/>
    <n v="3"/>
    <n v="149.99"/>
    <s v="PayPal"/>
    <x v="4"/>
    <x v="0"/>
    <d v="2022-11-21T00:00:00"/>
    <n v="449.97"/>
    <n v="1268"/>
    <n v="594"/>
  </r>
  <r>
    <s v="TRX0181"/>
    <x v="78"/>
    <s v="CUST012"/>
    <s v="Patricia Moore"/>
    <s v="P007"/>
    <s v="Desk"/>
    <x v="2"/>
    <n v="2"/>
    <n v="299.99"/>
    <s v="Debit Card"/>
    <x v="0"/>
    <x v="0"/>
    <d v="2022-01-08T00:00:00"/>
    <n v="599.98"/>
    <n v="1585"/>
    <n v="591"/>
  </r>
  <r>
    <s v="TRX0129"/>
    <x v="79"/>
    <s v="CUST015"/>
    <s v="Richard Lee"/>
    <s v="P006"/>
    <s v="Office Chair"/>
    <x v="2"/>
    <n v="1"/>
    <n v="199.99"/>
    <s v="Debit Card"/>
    <x v="4"/>
    <x v="2"/>
    <d v="2023-01-27T00:00:00"/>
    <n v="199.99"/>
    <n v="1201"/>
    <n v="590"/>
  </r>
  <r>
    <s v="TRX0174"/>
    <x v="80"/>
    <s v="CUST003"/>
    <s v="Michael Brown"/>
    <s v="P007"/>
    <s v="Desk"/>
    <x v="2"/>
    <n v="4"/>
    <n v="299.99"/>
    <s v="Cash"/>
    <x v="0"/>
    <x v="1"/>
    <d v="2021-09-21T00:00:00"/>
    <n v="1199.96"/>
    <n v="1694"/>
    <n v="588"/>
  </r>
  <r>
    <s v="TRX0146"/>
    <x v="81"/>
    <s v="CUST010"/>
    <s v="Maria Garcia"/>
    <s v="P005"/>
    <s v="Blender"/>
    <x v="1"/>
    <n v="2"/>
    <n v="59.99"/>
    <s v="Credit Card"/>
    <x v="0"/>
    <x v="0"/>
    <d v="2022-01-18T00:00:00"/>
    <n v="119.98"/>
    <n v="1575"/>
    <n v="582"/>
  </r>
  <r>
    <s v="TRX0203"/>
    <x v="81"/>
    <s v="CUST032"/>
    <s v="Sandra Phillips"/>
    <s v="P003"/>
    <s v="Headphones"/>
    <x v="0"/>
    <n v="4"/>
    <n v="149.99"/>
    <s v="Credit Card"/>
    <x v="2"/>
    <x v="1"/>
    <d v="2023-05-30T00:00:00"/>
    <n v="599.96"/>
    <n v="1078"/>
    <n v="582"/>
  </r>
  <r>
    <s v="TRX0055"/>
    <x v="82"/>
    <s v="CUST016"/>
    <s v="Elizabeth Hall"/>
    <s v="P002"/>
    <s v="Smartphone"/>
    <x v="0"/>
    <n v="2"/>
    <n v="699.99"/>
    <s v="Debit Card"/>
    <x v="4"/>
    <x v="1"/>
    <d v="2023-12-14T00:00:00"/>
    <n v="1399.98"/>
    <n v="880"/>
    <n v="581"/>
  </r>
  <r>
    <s v="TRX0218"/>
    <x v="82"/>
    <s v="CUST034"/>
    <s v="Carol Evans"/>
    <s v="P008"/>
    <s v="Bookshelf"/>
    <x v="2"/>
    <n v="3"/>
    <n v="149.99"/>
    <s v="Credit Card"/>
    <x v="1"/>
    <x v="2"/>
    <d v="2023-01-14T00:00:00"/>
    <n v="449.97"/>
    <n v="1214"/>
    <n v="581"/>
  </r>
  <r>
    <s v="TRX0085"/>
    <x v="83"/>
    <s v="CUST019"/>
    <s v="Daniel King"/>
    <s v="P007"/>
    <s v="Desk"/>
    <x v="2"/>
    <n v="3"/>
    <n v="299.99"/>
    <s v="Credit Card"/>
    <x v="0"/>
    <x v="2"/>
    <d v="2023-09-05T00:00:00"/>
    <n v="899.97"/>
    <n v="980"/>
    <n v="578"/>
  </r>
  <r>
    <s v="TRX0158"/>
    <x v="84"/>
    <s v="CUST027"/>
    <s v="George Adams"/>
    <s v="P001"/>
    <s v="Laptop"/>
    <x v="0"/>
    <n v="3"/>
    <n v="899.99"/>
    <s v="PayPal"/>
    <x v="3"/>
    <x v="0"/>
    <d v="2023-10-16T00:00:00"/>
    <n v="2699.97"/>
    <n v="939"/>
    <n v="575"/>
  </r>
  <r>
    <s v="TRX0173"/>
    <x v="85"/>
    <s v="CUST018"/>
    <s v="Barbara Young"/>
    <s v="P002"/>
    <s v="Smartphone"/>
    <x v="0"/>
    <n v="5"/>
    <n v="699.99"/>
    <s v="Cash"/>
    <x v="4"/>
    <x v="2"/>
    <d v="2023-03-23T00:00:00"/>
    <n v="3499.95"/>
    <n v="1146"/>
    <n v="573"/>
  </r>
  <r>
    <s v="TRX0034"/>
    <x v="85"/>
    <s v="CUST049"/>
    <s v="Raymond Ross"/>
    <s v="P002"/>
    <s v="Smartphone"/>
    <x v="0"/>
    <n v="4"/>
    <n v="699.99"/>
    <s v="Credit Card"/>
    <x v="0"/>
    <x v="0"/>
    <d v="2024-04-03T00:00:00"/>
    <n v="2799.96"/>
    <n v="769"/>
    <n v="573"/>
  </r>
  <r>
    <s v="TRX0189"/>
    <x v="85"/>
    <s v="CUST040"/>
    <s v="Sharon Butler"/>
    <s v="P001"/>
    <s v="Laptop"/>
    <x v="0"/>
    <n v="1"/>
    <n v="899.99"/>
    <s v="Credit Card"/>
    <x v="4"/>
    <x v="2"/>
    <d v="2024-03-18T00:00:00"/>
    <n v="899.99"/>
    <n v="785"/>
    <n v="573"/>
  </r>
  <r>
    <s v="TRX0190"/>
    <x v="86"/>
    <s v="CUST039"/>
    <s v="Lawrence Reed"/>
    <s v="P003"/>
    <s v="Headphones"/>
    <x v="0"/>
    <n v="2"/>
    <n v="149.99"/>
    <s v="Credit Card"/>
    <x v="3"/>
    <x v="0"/>
    <d v="2022-12-21T00:00:00"/>
    <n v="299.98"/>
    <n v="1238"/>
    <n v="571"/>
  </r>
  <r>
    <s v="TRX0079"/>
    <x v="87"/>
    <s v="CUST039"/>
    <s v="Lawrence Reed"/>
    <s v="P010"/>
    <s v="Keyboard"/>
    <x v="0"/>
    <n v="3"/>
    <n v="89.99"/>
    <s v="PayPal"/>
    <x v="0"/>
    <x v="0"/>
    <d v="2021-12-21T00:00:00"/>
    <n v="269.97000000000003"/>
    <n v="1603"/>
    <n v="568"/>
  </r>
  <r>
    <s v="TRX0095"/>
    <x v="88"/>
    <s v="CUST046"/>
    <s v="Kathleen Bennett"/>
    <s v="P003"/>
    <s v="Headphones"/>
    <x v="0"/>
    <n v="2"/>
    <n v="149.99"/>
    <s v="PayPal"/>
    <x v="0"/>
    <x v="0"/>
    <d v="2021-10-04T00:00:00"/>
    <n v="299.98"/>
    <n v="1681"/>
    <n v="566"/>
  </r>
  <r>
    <s v="TRX0009"/>
    <x v="88"/>
    <s v="CUST004"/>
    <s v="Sarah Davis"/>
    <s v="P002"/>
    <s v="Smartphone"/>
    <x v="0"/>
    <n v="2"/>
    <n v="699.99"/>
    <s v="Cash"/>
    <x v="0"/>
    <x v="0"/>
    <d v="2023-03-07T00:00:00"/>
    <n v="1399.98"/>
    <n v="1162"/>
    <n v="566"/>
  </r>
  <r>
    <s v="TRX0167"/>
    <x v="89"/>
    <s v="CUST028"/>
    <s v="Betty Campbell"/>
    <s v="P002"/>
    <s v="Smartphone"/>
    <x v="0"/>
    <n v="5"/>
    <n v="699.99"/>
    <s v="Cash"/>
    <x v="2"/>
    <x v="1"/>
    <d v="2022-03-15T00:00:00"/>
    <n v="3499.95"/>
    <n v="1519"/>
    <n v="565"/>
  </r>
  <r>
    <s v="TRX0153"/>
    <x v="90"/>
    <s v="CUST049"/>
    <s v="Raymond Ross"/>
    <s v="P010"/>
    <s v="Keyboard"/>
    <x v="0"/>
    <n v="3"/>
    <n v="89.99"/>
    <s v="Credit Card"/>
    <x v="2"/>
    <x v="2"/>
    <d v="2022-02-23T00:00:00"/>
    <n v="269.97000000000003"/>
    <n v="1539"/>
    <n v="562"/>
  </r>
  <r>
    <s v="TRX0057"/>
    <x v="91"/>
    <s v="CUST023"/>
    <s v="Paul Baker"/>
    <s v="P009"/>
    <s v="Monitor"/>
    <x v="0"/>
    <n v="5"/>
    <n v="249.99"/>
    <s v="Credit Card"/>
    <x v="1"/>
    <x v="2"/>
    <d v="2022-11-16T00:00:00"/>
    <n v="1249.95"/>
    <n v="1273"/>
    <n v="557"/>
  </r>
  <r>
    <s v="TRX0017"/>
    <x v="92"/>
    <s v="CUST026"/>
    <s v="Karen Hill"/>
    <s v="P007"/>
    <s v="Desk"/>
    <x v="2"/>
    <n v="3"/>
    <n v="299.99"/>
    <s v="Credit Card"/>
    <x v="1"/>
    <x v="2"/>
    <d v="2021-11-02T00:00:00"/>
    <n v="899.97"/>
    <n v="1652"/>
    <n v="554"/>
  </r>
  <r>
    <s v="TRX0060"/>
    <x v="93"/>
    <s v="CUST012"/>
    <s v="Patricia Moore"/>
    <s v="P010"/>
    <s v="Keyboard"/>
    <x v="0"/>
    <n v="3"/>
    <n v="89.99"/>
    <s v="Credit Card"/>
    <x v="2"/>
    <x v="1"/>
    <d v="2021-08-12T00:00:00"/>
    <n v="269.97000000000003"/>
    <n v="1734"/>
    <n v="551"/>
  </r>
  <r>
    <s v="TRX0109"/>
    <x v="94"/>
    <s v="CUST010"/>
    <s v="Maria Garcia"/>
    <s v="P008"/>
    <s v="Bookshelf"/>
    <x v="2"/>
    <n v="2"/>
    <n v="149.99"/>
    <s v="Credit Card"/>
    <x v="3"/>
    <x v="1"/>
    <d v="2022-10-14T00:00:00"/>
    <n v="299.98"/>
    <n v="1306"/>
    <n v="550"/>
  </r>
  <r>
    <s v="TRX0090"/>
    <x v="95"/>
    <s v="CUST020"/>
    <s v="Margaret Wright"/>
    <s v="P009"/>
    <s v="Monitor"/>
    <x v="0"/>
    <n v="1"/>
    <n v="249.99"/>
    <s v="Credit Card"/>
    <x v="2"/>
    <x v="1"/>
    <d v="2022-09-24T00:00:00"/>
    <n v="249.99"/>
    <n v="1326"/>
    <n v="549"/>
  </r>
  <r>
    <s v="TRX0035"/>
    <x v="96"/>
    <s v="CUST041"/>
    <s v="Peter Richardson"/>
    <s v="P003"/>
    <s v="Headphones"/>
    <x v="0"/>
    <n v="3"/>
    <n v="149.99"/>
    <s v="Cash"/>
    <x v="2"/>
    <x v="0"/>
    <d v="2022-07-27T00:00:00"/>
    <n v="449.97"/>
    <n v="1385"/>
    <n v="547"/>
  </r>
  <r>
    <s v="TRX0172"/>
    <x v="96"/>
    <s v="CUST023"/>
    <s v="Paul Baker"/>
    <s v="P005"/>
    <s v="Blender"/>
    <x v="1"/>
    <n v="5"/>
    <n v="59.99"/>
    <s v="PayPal"/>
    <x v="3"/>
    <x v="1"/>
    <d v="2022-05-13T00:00:00"/>
    <n v="299.95"/>
    <n v="1460"/>
    <n v="547"/>
  </r>
  <r>
    <s v="TRX0076"/>
    <x v="96"/>
    <s v="CUST012"/>
    <s v="Patricia Moore"/>
    <s v="P009"/>
    <s v="Monitor"/>
    <x v="0"/>
    <n v="4"/>
    <n v="249.99"/>
    <s v="Credit Card"/>
    <x v="3"/>
    <x v="2"/>
    <d v="2022-04-08T00:00:00"/>
    <n v="999.96"/>
    <n v="1495"/>
    <n v="547"/>
  </r>
  <r>
    <s v="TRX0210"/>
    <x v="97"/>
    <s v="CUST004"/>
    <s v="Sarah Davis"/>
    <s v="P008"/>
    <s v="Bookshelf"/>
    <x v="2"/>
    <n v="5"/>
    <n v="149.99"/>
    <s v="PayPal"/>
    <x v="0"/>
    <x v="0"/>
    <d v="2022-12-06T00:00:00"/>
    <n v="749.95"/>
    <n v="1253"/>
    <n v="546"/>
  </r>
  <r>
    <s v="TRX0149"/>
    <x v="97"/>
    <s v="CUST027"/>
    <s v="George Adams"/>
    <s v="P005"/>
    <s v="Blender"/>
    <x v="1"/>
    <n v="3"/>
    <n v="59.99"/>
    <s v="Debit Card"/>
    <x v="1"/>
    <x v="2"/>
    <d v="2023-11-30T00:00:00"/>
    <n v="179.97"/>
    <n v="894"/>
    <n v="546"/>
  </r>
  <r>
    <s v="TRX0073"/>
    <x v="98"/>
    <s v="CUST032"/>
    <s v="Sandra Phillips"/>
    <s v="P008"/>
    <s v="Bookshelf"/>
    <x v="2"/>
    <n v="5"/>
    <n v="149.99"/>
    <s v="Cash"/>
    <x v="2"/>
    <x v="0"/>
    <d v="2022-11-04T00:00:00"/>
    <n v="749.95"/>
    <n v="1285"/>
    <n v="541"/>
  </r>
  <r>
    <s v="TRX0033"/>
    <x v="98"/>
    <s v="CUST025"/>
    <s v="Mark Carter"/>
    <s v="P002"/>
    <s v="Smartphone"/>
    <x v="0"/>
    <n v="2"/>
    <n v="699.99"/>
    <s v="PayPal"/>
    <x v="3"/>
    <x v="2"/>
    <d v="2022-07-28T00:00:00"/>
    <n v="1399.98"/>
    <n v="1384"/>
    <n v="541"/>
  </r>
  <r>
    <s v="TRX0160"/>
    <x v="99"/>
    <s v="CUST029"/>
    <s v="Edward Mitchell"/>
    <s v="P006"/>
    <s v="Office Chair"/>
    <x v="2"/>
    <n v="4"/>
    <n v="199.99"/>
    <s v="Debit Card"/>
    <x v="0"/>
    <x v="1"/>
    <d v="2021-08-19T00:00:00"/>
    <n v="799.96"/>
    <n v="1727"/>
    <n v="537"/>
  </r>
  <r>
    <s v="TRX0145"/>
    <x v="100"/>
    <s v="CUST033"/>
    <s v="Frank Torres"/>
    <s v="P005"/>
    <s v="Blender"/>
    <x v="1"/>
    <n v="1"/>
    <n v="59.99"/>
    <s v="Debit Card"/>
    <x v="3"/>
    <x v="2"/>
    <d v="2021-12-30T00:00:00"/>
    <n v="59.99"/>
    <n v="1594"/>
    <n v="535"/>
  </r>
  <r>
    <s v="TRX0148"/>
    <x v="100"/>
    <s v="CUST004"/>
    <s v="Sarah Davis"/>
    <s v="P002"/>
    <s v="Smartphone"/>
    <x v="0"/>
    <n v="3"/>
    <n v="699.99"/>
    <s v="PayPal"/>
    <x v="3"/>
    <x v="2"/>
    <d v="2022-01-22T00:00:00"/>
    <n v="2099.9699999999998"/>
    <n v="1571"/>
    <n v="535"/>
  </r>
  <r>
    <s v="TRX0012"/>
    <x v="101"/>
    <s v="CUST045"/>
    <s v="Douglas Watson"/>
    <s v="P009"/>
    <s v="Monitor"/>
    <x v="0"/>
    <n v="5"/>
    <n v="249.99"/>
    <s v="Credit Card"/>
    <x v="2"/>
    <x v="0"/>
    <d v="2022-11-08T00:00:00"/>
    <n v="1249.95"/>
    <n v="1281"/>
    <n v="532"/>
  </r>
  <r>
    <s v="TRX0206"/>
    <x v="102"/>
    <s v="CUST014"/>
    <s v="Linda Martin"/>
    <s v="P008"/>
    <s v="Bookshelf"/>
    <x v="2"/>
    <n v="2"/>
    <n v="149.99"/>
    <s v="Cash"/>
    <x v="1"/>
    <x v="2"/>
    <d v="2023-06-24T00:00:00"/>
    <n v="299.98"/>
    <n v="1053"/>
    <n v="531"/>
  </r>
  <r>
    <s v="TRX0045"/>
    <x v="103"/>
    <s v="CUST021"/>
    <s v="Kevin Scott"/>
    <s v="P007"/>
    <s v="Desk"/>
    <x v="2"/>
    <n v="3"/>
    <n v="299.99"/>
    <s v="Cash"/>
    <x v="1"/>
    <x v="1"/>
    <d v="2022-04-08T00:00:00"/>
    <n v="899.97"/>
    <n v="1495"/>
    <n v="527"/>
  </r>
  <r>
    <s v="TRX0094"/>
    <x v="103"/>
    <s v="CUST017"/>
    <s v="Charles Allen"/>
    <s v="P009"/>
    <s v="Monitor"/>
    <x v="0"/>
    <n v="5"/>
    <n v="249.99"/>
    <s v="Cash"/>
    <x v="0"/>
    <x v="1"/>
    <d v="2021-10-16T00:00:00"/>
    <n v="1249.95"/>
    <n v="1669"/>
    <n v="527"/>
  </r>
  <r>
    <s v="TRX0133"/>
    <x v="103"/>
    <s v="CUST013"/>
    <s v="Joseph Jackson"/>
    <s v="P003"/>
    <s v="Headphones"/>
    <x v="0"/>
    <n v="2"/>
    <n v="149.99"/>
    <s v="Cash"/>
    <x v="1"/>
    <x v="1"/>
    <d v="2021-10-06T00:00:00"/>
    <n v="299.98"/>
    <n v="1679"/>
    <n v="527"/>
  </r>
  <r>
    <s v="TRX0201"/>
    <x v="103"/>
    <s v="CUST025"/>
    <s v="Mark Carter"/>
    <s v="P002"/>
    <s v="Smartphone"/>
    <x v="0"/>
    <n v="5"/>
    <n v="699.99"/>
    <s v="Debit Card"/>
    <x v="3"/>
    <x v="2"/>
    <d v="2023-01-18T00:00:00"/>
    <n v="3499.95"/>
    <n v="1210"/>
    <n v="527"/>
  </r>
  <r>
    <s v="TRX0137"/>
    <x v="104"/>
    <s v="CUST011"/>
    <s v="William White"/>
    <s v="P009"/>
    <s v="Monitor"/>
    <x v="0"/>
    <n v="4"/>
    <n v="249.99"/>
    <s v="PayPal"/>
    <x v="4"/>
    <x v="1"/>
    <d v="2023-06-21T00:00:00"/>
    <n v="999.96"/>
    <n v="1056"/>
    <n v="525"/>
  </r>
  <r>
    <s v="TRX0066"/>
    <x v="105"/>
    <s v="CUST024"/>
    <s v="Dorothy Nelson"/>
    <s v="P002"/>
    <s v="Smartphone"/>
    <x v="0"/>
    <n v="4"/>
    <n v="699.99"/>
    <s v="Credit Card"/>
    <x v="2"/>
    <x v="1"/>
    <d v="2022-05-22T00:00:00"/>
    <n v="2799.96"/>
    <n v="1451"/>
    <n v="524"/>
  </r>
  <r>
    <s v="TRX0180"/>
    <x v="106"/>
    <s v="CUST036"/>
    <s v="Nancy Collins"/>
    <s v="P009"/>
    <s v="Monitor"/>
    <x v="0"/>
    <n v="2"/>
    <n v="249.99"/>
    <s v="Credit Card"/>
    <x v="0"/>
    <x v="1"/>
    <d v="2021-07-19T00:00:00"/>
    <n v="499.98"/>
    <n v="1758"/>
    <n v="519"/>
  </r>
  <r>
    <s v="TRX0082"/>
    <x v="106"/>
    <s v="CUST005"/>
    <s v="James Johnson"/>
    <s v="P005"/>
    <s v="Blender"/>
    <x v="1"/>
    <n v="3"/>
    <n v="59.99"/>
    <s v="Cash"/>
    <x v="0"/>
    <x v="1"/>
    <d v="2023-05-06T00:00:00"/>
    <n v="179.97"/>
    <n v="1102"/>
    <n v="519"/>
  </r>
  <r>
    <s v="TRX0036"/>
    <x v="106"/>
    <s v="CUST008"/>
    <s v="Jennifer Taylor"/>
    <s v="P004"/>
    <s v="Coffee Maker"/>
    <x v="1"/>
    <n v="4"/>
    <n v="79.989999999999995"/>
    <s v="Debit Card"/>
    <x v="4"/>
    <x v="2"/>
    <d v="2022-12-26T00:00:00"/>
    <n v="319.95999999999998"/>
    <n v="1233"/>
    <n v="519"/>
  </r>
  <r>
    <s v="TRX0198"/>
    <x v="107"/>
    <s v="CUST030"/>
    <s v="Helen Roberts"/>
    <s v="P004"/>
    <s v="Coffee Maker"/>
    <x v="1"/>
    <n v="3"/>
    <n v="79.989999999999995"/>
    <s v="Debit Card"/>
    <x v="4"/>
    <x v="2"/>
    <d v="2022-08-06T00:00:00"/>
    <n v="239.97"/>
    <n v="1375"/>
    <n v="518"/>
  </r>
  <r>
    <s v="TRX0032"/>
    <x v="108"/>
    <s v="CUST041"/>
    <s v="Peter Richardson"/>
    <s v="P001"/>
    <s v="Laptop"/>
    <x v="0"/>
    <n v="2"/>
    <n v="899.99"/>
    <s v="Cash"/>
    <x v="2"/>
    <x v="0"/>
    <d v="2021-07-29T00:00:00"/>
    <n v="1799.98"/>
    <n v="1748"/>
    <n v="516"/>
  </r>
  <r>
    <s v="TRX0081"/>
    <x v="109"/>
    <s v="CUST007"/>
    <s v="David Martinez"/>
    <s v="P008"/>
    <s v="Bookshelf"/>
    <x v="2"/>
    <n v="1"/>
    <n v="149.99"/>
    <s v="Debit Card"/>
    <x v="4"/>
    <x v="2"/>
    <d v="2023-10-01T00:00:00"/>
    <n v="149.99"/>
    <n v="954"/>
    <n v="513"/>
  </r>
  <r>
    <s v="TRX0224"/>
    <x v="109"/>
    <s v="CUST031"/>
    <s v="Steven Turner"/>
    <s v="P007"/>
    <s v="Desk"/>
    <x v="2"/>
    <n v="2"/>
    <n v="299.99"/>
    <s v="Cash"/>
    <x v="4"/>
    <x v="1"/>
    <d v="2022-06-12T00:00:00"/>
    <n v="599.98"/>
    <n v="1430"/>
    <n v="513"/>
  </r>
  <r>
    <s v="TRX0028"/>
    <x v="110"/>
    <s v="CUST002"/>
    <s v="Emma Wilson"/>
    <s v="P005"/>
    <s v="Blender"/>
    <x v="1"/>
    <n v="2"/>
    <n v="59.99"/>
    <s v="Cash"/>
    <x v="3"/>
    <x v="0"/>
    <d v="2023-09-22T00:00:00"/>
    <n v="119.98"/>
    <n v="963"/>
    <n v="510"/>
  </r>
  <r>
    <s v="TRX0183"/>
    <x v="111"/>
    <s v="CUST007"/>
    <s v="David Martinez"/>
    <s v="P010"/>
    <s v="Keyboard"/>
    <x v="0"/>
    <n v="1"/>
    <n v="89.99"/>
    <s v="Debit Card"/>
    <x v="0"/>
    <x v="2"/>
    <d v="2022-07-18T00:00:00"/>
    <n v="89.99"/>
    <n v="1394"/>
    <n v="509"/>
  </r>
  <r>
    <s v="TRX0163"/>
    <x v="111"/>
    <s v="CUST019"/>
    <s v="Daniel King"/>
    <s v="P001"/>
    <s v="Laptop"/>
    <x v="0"/>
    <n v="5"/>
    <n v="899.99"/>
    <s v="Debit Card"/>
    <x v="4"/>
    <x v="2"/>
    <d v="2022-03-05T00:00:00"/>
    <n v="4499.95"/>
    <n v="1529"/>
    <n v="509"/>
  </r>
  <r>
    <s v="TRX0046"/>
    <x v="112"/>
    <s v="CUST003"/>
    <s v="Michael Brown"/>
    <s v="P008"/>
    <s v="Bookshelf"/>
    <x v="2"/>
    <n v="2"/>
    <n v="149.99"/>
    <s v="Cash"/>
    <x v="1"/>
    <x v="0"/>
    <d v="2023-11-09T00:00:00"/>
    <n v="299.98"/>
    <n v="915"/>
    <n v="508"/>
  </r>
  <r>
    <s v="TRX0164"/>
    <x v="113"/>
    <s v="CUST014"/>
    <s v="Linda Martin"/>
    <s v="P003"/>
    <s v="Headphones"/>
    <x v="0"/>
    <n v="2"/>
    <n v="149.99"/>
    <s v="Debit Card"/>
    <x v="3"/>
    <x v="1"/>
    <d v="2023-12-20T00:00:00"/>
    <n v="299.98"/>
    <n v="874"/>
    <n v="506"/>
  </r>
  <r>
    <s v="TRX0008"/>
    <x v="113"/>
    <s v="CUST007"/>
    <s v="David Martinez"/>
    <s v="P008"/>
    <s v="Bookshelf"/>
    <x v="2"/>
    <n v="3"/>
    <n v="149.99"/>
    <s v="Debit Card"/>
    <x v="2"/>
    <x v="2"/>
    <d v="2021-11-22T00:00:00"/>
    <n v="449.97"/>
    <n v="1632"/>
    <n v="506"/>
  </r>
  <r>
    <s v="TRX0171"/>
    <x v="114"/>
    <s v="CUST021"/>
    <s v="Kevin Scott"/>
    <s v="P007"/>
    <s v="Desk"/>
    <x v="2"/>
    <n v="2"/>
    <n v="299.99"/>
    <s v="PayPal"/>
    <x v="1"/>
    <x v="0"/>
    <d v="2022-06-09T00:00:00"/>
    <n v="599.98"/>
    <n v="1433"/>
    <n v="505"/>
  </r>
  <r>
    <s v="TRX0143"/>
    <x v="115"/>
    <s v="CUST003"/>
    <s v="Michael Brown"/>
    <s v="P007"/>
    <s v="Desk"/>
    <x v="2"/>
    <n v="2"/>
    <n v="299.99"/>
    <s v="Cash"/>
    <x v="3"/>
    <x v="0"/>
    <d v="2022-07-29T00:00:00"/>
    <n v="599.98"/>
    <n v="1383"/>
    <n v="500"/>
  </r>
  <r>
    <s v="TRX0165"/>
    <x v="115"/>
    <s v="CUST030"/>
    <s v="Helen Roberts"/>
    <s v="P006"/>
    <s v="Office Chair"/>
    <x v="2"/>
    <n v="4"/>
    <n v="199.99"/>
    <s v="Credit Card"/>
    <x v="0"/>
    <x v="0"/>
    <d v="2021-11-23T00:00:00"/>
    <n v="799.96"/>
    <n v="1631"/>
    <n v="500"/>
  </r>
  <r>
    <s v="TRX0156"/>
    <x v="116"/>
    <s v="CUST009"/>
    <s v="Robert Thomas"/>
    <s v="P010"/>
    <s v="Keyboard"/>
    <x v="0"/>
    <n v="1"/>
    <n v="89.99"/>
    <s v="Credit Card"/>
    <x v="1"/>
    <x v="1"/>
    <d v="2022-01-30T00:00:00"/>
    <n v="89.99"/>
    <n v="1563"/>
    <n v="499"/>
  </r>
  <r>
    <s v="TRX0147"/>
    <x v="116"/>
    <s v="CUST036"/>
    <s v="Nancy Collins"/>
    <s v="P008"/>
    <s v="Bookshelf"/>
    <x v="2"/>
    <n v="5"/>
    <n v="149.99"/>
    <s v="Cash"/>
    <x v="0"/>
    <x v="1"/>
    <d v="2024-02-25T00:00:00"/>
    <n v="749.95"/>
    <n v="807"/>
    <n v="499"/>
  </r>
  <r>
    <s v="TRX0207"/>
    <x v="117"/>
    <s v="CUST025"/>
    <s v="Mark Carter"/>
    <s v="P001"/>
    <s v="Laptop"/>
    <x v="0"/>
    <n v="1"/>
    <n v="899.99"/>
    <s v="PayPal"/>
    <x v="2"/>
    <x v="1"/>
    <d v="2023-05-04T00:00:00"/>
    <n v="899.99"/>
    <n v="1104"/>
    <n v="497"/>
  </r>
  <r>
    <s v="TRX0056"/>
    <x v="118"/>
    <s v="CUST019"/>
    <s v="Daniel King"/>
    <s v="P010"/>
    <s v="Keyboard"/>
    <x v="0"/>
    <n v="2"/>
    <n v="89.99"/>
    <s v="Credit Card"/>
    <x v="1"/>
    <x v="1"/>
    <d v="2022-01-03T00:00:00"/>
    <n v="179.98"/>
    <n v="1590"/>
    <n v="494"/>
  </r>
  <r>
    <s v="TRX0026"/>
    <x v="119"/>
    <s v="CUST037"/>
    <s v="Arthur Edwards"/>
    <s v="P001"/>
    <s v="Laptop"/>
    <x v="0"/>
    <n v="1"/>
    <n v="899.99"/>
    <s v="PayPal"/>
    <x v="2"/>
    <x v="2"/>
    <d v="2022-07-10T00:00:00"/>
    <n v="899.99"/>
    <n v="1402"/>
    <n v="493"/>
  </r>
  <r>
    <s v="TRX0237"/>
    <x v="120"/>
    <s v="CUST006"/>
    <s v="Lisa Anderson"/>
    <s v="P003"/>
    <s v="Headphones"/>
    <x v="0"/>
    <n v="5"/>
    <n v="149.99"/>
    <s v="PayPal"/>
    <x v="4"/>
    <x v="1"/>
    <d v="2022-09-20T00:00:00"/>
    <n v="749.95"/>
    <n v="1330"/>
    <n v="491"/>
  </r>
  <r>
    <s v="TRX0091"/>
    <x v="120"/>
    <s v="CUST003"/>
    <s v="Michael Brown"/>
    <s v="P007"/>
    <s v="Desk"/>
    <x v="2"/>
    <n v="3"/>
    <n v="299.99"/>
    <s v="Cash"/>
    <x v="1"/>
    <x v="2"/>
    <d v="2021-08-14T00:00:00"/>
    <n v="899.97"/>
    <n v="1732"/>
    <n v="491"/>
  </r>
  <r>
    <s v="TRX0125"/>
    <x v="121"/>
    <s v="CUST026"/>
    <s v="Karen Hill"/>
    <s v="P002"/>
    <s v="Smartphone"/>
    <x v="0"/>
    <n v="3"/>
    <n v="699.99"/>
    <s v="Credit Card"/>
    <x v="0"/>
    <x v="1"/>
    <d v="2023-06-28T00:00:00"/>
    <n v="2099.9699999999998"/>
    <n v="1049"/>
    <n v="488"/>
  </r>
  <r>
    <s v="TRX0223"/>
    <x v="122"/>
    <s v="CUST036"/>
    <s v="Nancy Collins"/>
    <s v="P006"/>
    <s v="Office Chair"/>
    <x v="2"/>
    <n v="5"/>
    <n v="199.99"/>
    <s v="PayPal"/>
    <x v="0"/>
    <x v="2"/>
    <d v="2022-03-13T00:00:00"/>
    <n v="999.95"/>
    <n v="1521"/>
    <n v="487"/>
  </r>
  <r>
    <s v="TRX0243"/>
    <x v="122"/>
    <s v="CUST048"/>
    <s v="Virginia Sanders"/>
    <s v="P009"/>
    <s v="Monitor"/>
    <x v="0"/>
    <n v="5"/>
    <n v="249.99"/>
    <s v="Credit Card"/>
    <x v="1"/>
    <x v="0"/>
    <d v="2024-02-08T00:00:00"/>
    <n v="1249.95"/>
    <n v="824"/>
    <n v="487"/>
  </r>
  <r>
    <s v="TRX0084"/>
    <x v="123"/>
    <s v="CUST031"/>
    <s v="Steven Turner"/>
    <s v="P003"/>
    <s v="Headphones"/>
    <x v="0"/>
    <n v="4"/>
    <n v="149.99"/>
    <s v="Debit Card"/>
    <x v="4"/>
    <x v="2"/>
    <d v="2021-12-06T00:00:00"/>
    <n v="599.96"/>
    <n v="1618"/>
    <n v="486"/>
  </r>
  <r>
    <s v="TRX0238"/>
    <x v="123"/>
    <s v="CUST038"/>
    <s v="Michelle Rogers"/>
    <s v="P002"/>
    <s v="Smartphone"/>
    <x v="0"/>
    <n v="3"/>
    <n v="699.99"/>
    <s v="Cash"/>
    <x v="2"/>
    <x v="1"/>
    <d v="2022-02-10T00:00:00"/>
    <n v="2099.9699999999998"/>
    <n v="1552"/>
    <n v="486"/>
  </r>
  <r>
    <s v="TRX0102"/>
    <x v="124"/>
    <s v="CUST045"/>
    <s v="Douglas Watson"/>
    <s v="P004"/>
    <s v="Coffee Maker"/>
    <x v="1"/>
    <n v="1"/>
    <n v="79.989999999999995"/>
    <s v="Credit Card"/>
    <x v="1"/>
    <x v="0"/>
    <d v="2024-01-31T00:00:00"/>
    <n v="79.989999999999995"/>
    <n v="832"/>
    <n v="484"/>
  </r>
  <r>
    <s v="TRX0022"/>
    <x v="124"/>
    <s v="CUST025"/>
    <s v="Mark Carter"/>
    <s v="P007"/>
    <s v="Desk"/>
    <x v="2"/>
    <n v="1"/>
    <n v="299.99"/>
    <s v="Credit Card"/>
    <x v="2"/>
    <x v="0"/>
    <d v="2021-08-28T00:00:00"/>
    <n v="299.99"/>
    <n v="1718"/>
    <n v="484"/>
  </r>
  <r>
    <s v="TRX0087"/>
    <x v="125"/>
    <s v="CUST028"/>
    <s v="Betty Campbell"/>
    <s v="P009"/>
    <s v="Monitor"/>
    <x v="0"/>
    <n v="4"/>
    <n v="249.99"/>
    <s v="Credit Card"/>
    <x v="2"/>
    <x v="1"/>
    <d v="2021-09-21T00:00:00"/>
    <n v="999.96"/>
    <n v="1694"/>
    <n v="483"/>
  </r>
  <r>
    <s v="TRX0107"/>
    <x v="125"/>
    <s v="CUST030"/>
    <s v="Helen Roberts"/>
    <s v="P003"/>
    <s v="Headphones"/>
    <x v="0"/>
    <n v="2"/>
    <n v="149.99"/>
    <s v="Cash"/>
    <x v="2"/>
    <x v="2"/>
    <d v="2022-12-18T00:00:00"/>
    <n v="299.98"/>
    <n v="1241"/>
    <n v="483"/>
  </r>
  <r>
    <s v="TRX0051"/>
    <x v="125"/>
    <s v="CUST032"/>
    <s v="Sandra Phillips"/>
    <s v="P007"/>
    <s v="Desk"/>
    <x v="2"/>
    <n v="3"/>
    <n v="299.99"/>
    <s v="Credit Card"/>
    <x v="1"/>
    <x v="0"/>
    <d v="2023-10-05T00:00:00"/>
    <n v="899.97"/>
    <n v="950"/>
    <n v="483"/>
  </r>
  <r>
    <s v="TRX0106"/>
    <x v="126"/>
    <s v="CUST039"/>
    <s v="Lawrence Reed"/>
    <s v="P006"/>
    <s v="Office Chair"/>
    <x v="2"/>
    <n v="4"/>
    <n v="199.99"/>
    <s v="Debit Card"/>
    <x v="1"/>
    <x v="2"/>
    <d v="2021-12-14T00:00:00"/>
    <n v="799.96"/>
    <n v="1610"/>
    <n v="481"/>
  </r>
  <r>
    <s v="TRX0059"/>
    <x v="126"/>
    <s v="CUST016"/>
    <s v="Elizabeth Hall"/>
    <s v="P007"/>
    <s v="Desk"/>
    <x v="2"/>
    <n v="5"/>
    <n v="299.99"/>
    <s v="Debit Card"/>
    <x v="0"/>
    <x v="0"/>
    <d v="2021-08-23T00:00:00"/>
    <n v="1499.95"/>
    <n v="1723"/>
    <n v="481"/>
  </r>
  <r>
    <s v="TRX0072"/>
    <x v="126"/>
    <s v="CUST009"/>
    <s v="Robert Thomas"/>
    <s v="P008"/>
    <s v="Bookshelf"/>
    <x v="2"/>
    <n v="3"/>
    <n v="149.99"/>
    <s v="Credit Card"/>
    <x v="4"/>
    <x v="2"/>
    <d v="2021-07-18T00:00:00"/>
    <n v="449.97"/>
    <n v="1759"/>
    <n v="481"/>
  </r>
  <r>
    <s v="TRX0110"/>
    <x v="127"/>
    <s v="CUST006"/>
    <s v="Lisa Anderson"/>
    <s v="P005"/>
    <s v="Blender"/>
    <x v="1"/>
    <n v="5"/>
    <n v="59.99"/>
    <s v="Debit Card"/>
    <x v="4"/>
    <x v="0"/>
    <d v="2022-03-22T00:00:00"/>
    <n v="299.95"/>
    <n v="1512"/>
    <n v="478"/>
  </r>
  <r>
    <s v="TRX0126"/>
    <x v="128"/>
    <s v="CUST022"/>
    <s v="Susan Green"/>
    <s v="P005"/>
    <s v="Blender"/>
    <x v="1"/>
    <n v="4"/>
    <n v="59.99"/>
    <s v="Debit Card"/>
    <x v="4"/>
    <x v="2"/>
    <d v="2022-01-03T00:00:00"/>
    <n v="239.96"/>
    <n v="1590"/>
    <n v="472"/>
  </r>
  <r>
    <s v="TRX0159"/>
    <x v="129"/>
    <s v="CUST024"/>
    <s v="Dorothy Nelson"/>
    <s v="P009"/>
    <s v="Monitor"/>
    <x v="0"/>
    <n v="4"/>
    <n v="249.99"/>
    <s v="Debit Card"/>
    <x v="0"/>
    <x v="1"/>
    <d v="2023-10-18T00:00:00"/>
    <n v="999.96"/>
    <n v="937"/>
    <n v="471"/>
  </r>
  <r>
    <s v="TRX0030"/>
    <x v="130"/>
    <s v="CUST011"/>
    <s v="William White"/>
    <s v="P001"/>
    <s v="Laptop"/>
    <x v="0"/>
    <n v="4"/>
    <n v="899.99"/>
    <s v="PayPal"/>
    <x v="0"/>
    <x v="0"/>
    <d v="2022-06-22T00:00:00"/>
    <n v="3599.96"/>
    <n v="1420"/>
    <n v="468"/>
  </r>
  <r>
    <s v="TRX0178"/>
    <x v="130"/>
    <s v="CUST025"/>
    <s v="Mark Carter"/>
    <s v="P007"/>
    <s v="Desk"/>
    <x v="2"/>
    <n v="3"/>
    <n v="299.99"/>
    <s v="Debit Card"/>
    <x v="3"/>
    <x v="2"/>
    <d v="2023-01-26T00:00:00"/>
    <n v="899.97"/>
    <n v="1202"/>
    <n v="468"/>
  </r>
  <r>
    <s v="TRX0188"/>
    <x v="130"/>
    <s v="CUST045"/>
    <s v="Douglas Watson"/>
    <s v="P002"/>
    <s v="Smartphone"/>
    <x v="0"/>
    <n v="2"/>
    <n v="699.99"/>
    <s v="Debit Card"/>
    <x v="0"/>
    <x v="1"/>
    <d v="2022-04-30T00:00:00"/>
    <n v="1399.98"/>
    <n v="1473"/>
    <n v="468"/>
  </r>
  <r>
    <s v="TRX0010"/>
    <x v="131"/>
    <s v="CUST026"/>
    <s v="Karen Hill"/>
    <s v="P002"/>
    <s v="Smartphone"/>
    <x v="0"/>
    <n v="4"/>
    <n v="699.99"/>
    <s v="Debit Card"/>
    <x v="3"/>
    <x v="1"/>
    <d v="2022-05-11T00:00:00"/>
    <n v="2799.96"/>
    <n v="1462"/>
    <n v="466"/>
  </r>
  <r>
    <s v="TRX0069"/>
    <x v="131"/>
    <s v="CUST029"/>
    <s v="Edward Mitchell"/>
    <s v="P010"/>
    <s v="Keyboard"/>
    <x v="0"/>
    <n v="2"/>
    <n v="89.99"/>
    <s v="Debit Card"/>
    <x v="1"/>
    <x v="0"/>
    <d v="2022-08-04T00:00:00"/>
    <n v="179.98"/>
    <n v="1377"/>
    <n v="466"/>
  </r>
  <r>
    <s v="TRX0166"/>
    <x v="131"/>
    <s v="CUST003"/>
    <s v="Michael Brown"/>
    <s v="P010"/>
    <s v="Keyboard"/>
    <x v="0"/>
    <n v="3"/>
    <n v="89.99"/>
    <s v="Debit Card"/>
    <x v="1"/>
    <x v="1"/>
    <d v="2024-01-16T00:00:00"/>
    <n v="269.97000000000003"/>
    <n v="847"/>
    <n v="466"/>
  </r>
  <r>
    <s v="TRX0219"/>
    <x v="132"/>
    <s v="CUST037"/>
    <s v="Arthur Edwards"/>
    <s v="P005"/>
    <s v="Blender"/>
    <x v="1"/>
    <n v="1"/>
    <n v="59.99"/>
    <s v="Debit Card"/>
    <x v="0"/>
    <x v="2"/>
    <d v="2023-04-29T00:00:00"/>
    <n v="59.99"/>
    <n v="1109"/>
    <n v="462"/>
  </r>
  <r>
    <s v="TRX0024"/>
    <x v="133"/>
    <s v="CUST042"/>
    <s v="Ruth Brooks"/>
    <s v="P008"/>
    <s v="Bookshelf"/>
    <x v="2"/>
    <n v="3"/>
    <n v="149.99"/>
    <s v="Debit Card"/>
    <x v="2"/>
    <x v="1"/>
    <d v="2022-01-03T00:00:00"/>
    <n v="449.97"/>
    <n v="1590"/>
    <n v="459"/>
  </r>
  <r>
    <s v="TRX0105"/>
    <x v="133"/>
    <s v="CUST048"/>
    <s v="Virginia Sanders"/>
    <s v="P007"/>
    <s v="Desk"/>
    <x v="2"/>
    <n v="5"/>
    <n v="299.99"/>
    <s v="Credit Card"/>
    <x v="1"/>
    <x v="0"/>
    <d v="2023-02-02T00:00:00"/>
    <n v="1499.95"/>
    <n v="1195"/>
    <n v="459"/>
  </r>
  <r>
    <s v="TRX0011"/>
    <x v="134"/>
    <s v="CUST040"/>
    <s v="Sharon Butler"/>
    <s v="P005"/>
    <s v="Blender"/>
    <x v="1"/>
    <n v="5"/>
    <n v="59.99"/>
    <s v="Debit Card"/>
    <x v="0"/>
    <x v="2"/>
    <d v="2023-09-08T00:00:00"/>
    <n v="299.95"/>
    <n v="977"/>
    <n v="458"/>
  </r>
  <r>
    <s v="TRX0187"/>
    <x v="135"/>
    <s v="CUST036"/>
    <s v="Nancy Collins"/>
    <s v="P004"/>
    <s v="Coffee Maker"/>
    <x v="1"/>
    <n v="3"/>
    <n v="79.989999999999995"/>
    <s v="Cash"/>
    <x v="4"/>
    <x v="1"/>
    <d v="2021-08-28T00:00:00"/>
    <n v="239.97"/>
    <n v="1718"/>
    <n v="453"/>
  </r>
  <r>
    <s v="TRX0089"/>
    <x v="136"/>
    <s v="CUST021"/>
    <s v="Kevin Scott"/>
    <s v="P006"/>
    <s v="Office Chair"/>
    <x v="2"/>
    <n v="3"/>
    <n v="199.99"/>
    <s v="Cash"/>
    <x v="0"/>
    <x v="0"/>
    <d v="2022-06-23T00:00:00"/>
    <n v="599.97"/>
    <n v="1419"/>
    <n v="450"/>
  </r>
  <r>
    <s v="TRX0196"/>
    <x v="136"/>
    <s v="CUST023"/>
    <s v="Paul Baker"/>
    <s v="P010"/>
    <s v="Keyboard"/>
    <x v="0"/>
    <n v="2"/>
    <n v="89.99"/>
    <s v="PayPal"/>
    <x v="0"/>
    <x v="0"/>
    <d v="2023-11-27T00:00:00"/>
    <n v="179.98"/>
    <n v="897"/>
    <n v="450"/>
  </r>
  <r>
    <s v="TRX0118"/>
    <x v="137"/>
    <s v="CUST015"/>
    <s v="Richard Lee"/>
    <s v="P008"/>
    <s v="Bookshelf"/>
    <x v="2"/>
    <n v="2"/>
    <n v="149.99"/>
    <s v="Cash"/>
    <x v="1"/>
    <x v="1"/>
    <d v="2022-06-16T00:00:00"/>
    <n v="299.98"/>
    <n v="1426"/>
    <n v="449"/>
  </r>
  <r>
    <s v="TRX0179"/>
    <x v="138"/>
    <s v="CUST029"/>
    <s v="Edward Mitchell"/>
    <s v="P002"/>
    <s v="Smartphone"/>
    <x v="0"/>
    <n v="5"/>
    <n v="699.99"/>
    <s v="PayPal"/>
    <x v="1"/>
    <x v="1"/>
    <d v="2024-03-01T00:00:00"/>
    <n v="3499.95"/>
    <n v="802"/>
    <n v="447"/>
  </r>
  <r>
    <s v="TRX0168"/>
    <x v="138"/>
    <s v="CUST003"/>
    <s v="Michael Brown"/>
    <s v="P008"/>
    <s v="Bookshelf"/>
    <x v="2"/>
    <n v="3"/>
    <n v="149.99"/>
    <s v="PayPal"/>
    <x v="0"/>
    <x v="2"/>
    <d v="2022-03-13T00:00:00"/>
    <n v="449.97"/>
    <n v="1521"/>
    <n v="447"/>
  </r>
  <r>
    <s v="TRX0214"/>
    <x v="139"/>
    <s v="CUST018"/>
    <s v="Barbara Young"/>
    <s v="P001"/>
    <s v="Laptop"/>
    <x v="0"/>
    <n v="3"/>
    <n v="899.99"/>
    <s v="Cash"/>
    <x v="4"/>
    <x v="2"/>
    <d v="2022-02-21T00:00:00"/>
    <n v="2699.97"/>
    <n v="1541"/>
    <n v="446"/>
  </r>
  <r>
    <s v="TRX0221"/>
    <x v="139"/>
    <s v="CUST033"/>
    <s v="Frank Torres"/>
    <s v="P006"/>
    <s v="Office Chair"/>
    <x v="2"/>
    <n v="3"/>
    <n v="199.99"/>
    <s v="Cash"/>
    <x v="3"/>
    <x v="1"/>
    <d v="2022-09-19T00:00:00"/>
    <n v="599.97"/>
    <n v="1331"/>
    <n v="446"/>
  </r>
  <r>
    <s v="TRX0083"/>
    <x v="140"/>
    <s v="CUST017"/>
    <s v="Charles Allen"/>
    <s v="P007"/>
    <s v="Desk"/>
    <x v="2"/>
    <n v="5"/>
    <n v="299.99"/>
    <s v="Cash"/>
    <x v="3"/>
    <x v="2"/>
    <d v="2023-08-04T00:00:00"/>
    <n v="1499.95"/>
    <n v="1012"/>
    <n v="444"/>
  </r>
  <r>
    <s v="TRX0151"/>
    <x v="140"/>
    <s v="CUST040"/>
    <s v="Sharon Butler"/>
    <s v="P002"/>
    <s v="Smartphone"/>
    <x v="0"/>
    <n v="1"/>
    <n v="699.99"/>
    <s v="PayPal"/>
    <x v="3"/>
    <x v="0"/>
    <d v="2023-01-08T00:00:00"/>
    <n v="699.99"/>
    <n v="1220"/>
    <n v="444"/>
  </r>
  <r>
    <s v="TRX0047"/>
    <x v="141"/>
    <s v="CUST042"/>
    <s v="Ruth Brooks"/>
    <s v="P002"/>
    <s v="Smartphone"/>
    <x v="0"/>
    <n v="1"/>
    <n v="699.99"/>
    <s v="Cash"/>
    <x v="2"/>
    <x v="1"/>
    <d v="2022-01-22T00:00:00"/>
    <n v="699.99"/>
    <n v="1571"/>
    <n v="443"/>
  </r>
  <r>
    <s v="TRX0200"/>
    <x v="141"/>
    <s v="CUST037"/>
    <s v="Arthur Edwards"/>
    <s v="P008"/>
    <s v="Bookshelf"/>
    <x v="2"/>
    <n v="4"/>
    <n v="149.99"/>
    <s v="PayPal"/>
    <x v="2"/>
    <x v="1"/>
    <d v="2021-08-04T00:00:00"/>
    <n v="599.96"/>
    <n v="1742"/>
    <n v="443"/>
  </r>
  <r>
    <s v="TRX0062"/>
    <x v="141"/>
    <s v="CUST016"/>
    <s v="Elizabeth Hall"/>
    <s v="P010"/>
    <s v="Keyboard"/>
    <x v="0"/>
    <n v="5"/>
    <n v="89.99"/>
    <s v="PayPal"/>
    <x v="3"/>
    <x v="1"/>
    <d v="2023-08-02T00:00:00"/>
    <n v="449.95"/>
    <n v="1014"/>
    <n v="443"/>
  </r>
  <r>
    <s v="TRX0182"/>
    <x v="142"/>
    <s v="CUST031"/>
    <s v="Steven Turner"/>
    <s v="P006"/>
    <s v="Office Chair"/>
    <x v="2"/>
    <n v="2"/>
    <n v="199.99"/>
    <s v="Cash"/>
    <x v="0"/>
    <x v="1"/>
    <d v="2022-01-12T00:00:00"/>
    <n v="399.98"/>
    <n v="1581"/>
    <n v="442"/>
  </r>
  <r>
    <s v="TRX0229"/>
    <x v="143"/>
    <s v="CUST015"/>
    <s v="Richard Lee"/>
    <s v="P005"/>
    <s v="Blender"/>
    <x v="1"/>
    <n v="4"/>
    <n v="59.99"/>
    <s v="Cash"/>
    <x v="3"/>
    <x v="2"/>
    <d v="2023-05-24T00:00:00"/>
    <n v="239.96"/>
    <n v="1084"/>
    <n v="439"/>
  </r>
  <r>
    <s v="TRX0048"/>
    <x v="143"/>
    <s v="CUST048"/>
    <s v="Virginia Sanders"/>
    <s v="P007"/>
    <s v="Desk"/>
    <x v="2"/>
    <n v="2"/>
    <n v="299.99"/>
    <s v="PayPal"/>
    <x v="1"/>
    <x v="0"/>
    <d v="2022-01-15T00:00:00"/>
    <n v="599.98"/>
    <n v="1578"/>
    <n v="439"/>
  </r>
  <r>
    <s v="TRX0227"/>
    <x v="144"/>
    <s v="CUST017"/>
    <s v="Charles Allen"/>
    <s v="P008"/>
    <s v="Bookshelf"/>
    <x v="2"/>
    <n v="2"/>
    <n v="149.99"/>
    <s v="Cash"/>
    <x v="0"/>
    <x v="0"/>
    <d v="2023-05-22T00:00:00"/>
    <n v="299.98"/>
    <n v="1086"/>
    <n v="436"/>
  </r>
  <r>
    <s v="TRX0226"/>
    <x v="145"/>
    <s v="CUST039"/>
    <s v="Lawrence Reed"/>
    <s v="P002"/>
    <s v="Smartphone"/>
    <x v="0"/>
    <n v="5"/>
    <n v="699.99"/>
    <s v="Debit Card"/>
    <x v="4"/>
    <x v="1"/>
    <d v="2023-08-23T00:00:00"/>
    <n v="3499.95"/>
    <n v="993"/>
    <n v="434"/>
  </r>
  <r>
    <s v="TRX0053"/>
    <x v="146"/>
    <s v="CUST043"/>
    <s v="Dennis Gray"/>
    <s v="P005"/>
    <s v="Blender"/>
    <x v="1"/>
    <n v="5"/>
    <n v="59.99"/>
    <s v="Cash"/>
    <x v="3"/>
    <x v="1"/>
    <d v="2023-12-31T00:00:00"/>
    <n v="299.95"/>
    <n v="863"/>
    <n v="433"/>
  </r>
  <r>
    <s v="TRX0233"/>
    <x v="147"/>
    <s v="CUST023"/>
    <s v="Paul Baker"/>
    <s v="P010"/>
    <s v="Keyboard"/>
    <x v="0"/>
    <n v="2"/>
    <n v="89.99"/>
    <s v="Credit Card"/>
    <x v="3"/>
    <x v="1"/>
    <d v="2024-01-04T00:00:00"/>
    <n v="179.98"/>
    <n v="859"/>
    <n v="431"/>
  </r>
  <r>
    <s v="TRX0175"/>
    <x v="147"/>
    <s v="CUST030"/>
    <s v="Helen Roberts"/>
    <s v="P009"/>
    <s v="Monitor"/>
    <x v="0"/>
    <n v="5"/>
    <n v="249.99"/>
    <s v="Cash"/>
    <x v="4"/>
    <x v="2"/>
    <d v="2021-12-10T00:00:00"/>
    <n v="1249.95"/>
    <n v="1614"/>
    <n v="431"/>
  </r>
  <r>
    <s v="TRX0186"/>
    <x v="148"/>
    <s v="CUST039"/>
    <s v="Lawrence Reed"/>
    <s v="P008"/>
    <s v="Bookshelf"/>
    <x v="2"/>
    <n v="2"/>
    <n v="149.99"/>
    <s v="PayPal"/>
    <x v="0"/>
    <x v="1"/>
    <d v="2022-03-12T00:00:00"/>
    <n v="299.98"/>
    <n v="1522"/>
    <n v="430"/>
  </r>
  <r>
    <s v="TRX0016"/>
    <x v="148"/>
    <s v="CUST035"/>
    <s v="Harry Morgan"/>
    <s v="P001"/>
    <s v="Laptop"/>
    <x v="0"/>
    <n v="5"/>
    <n v="899.99"/>
    <s v="PayPal"/>
    <x v="4"/>
    <x v="1"/>
    <d v="2024-04-07T00:00:00"/>
    <n v="4499.95"/>
    <n v="765"/>
    <n v="430"/>
  </r>
  <r>
    <s v="TRX0199"/>
    <x v="148"/>
    <s v="CUST017"/>
    <s v="Charles Allen"/>
    <s v="P008"/>
    <s v="Bookshelf"/>
    <x v="2"/>
    <n v="4"/>
    <n v="149.99"/>
    <s v="Cash"/>
    <x v="0"/>
    <x v="2"/>
    <d v="2023-12-03T00:00:00"/>
    <n v="599.96"/>
    <n v="891"/>
    <n v="430"/>
  </r>
  <r>
    <s v="TRX0038"/>
    <x v="149"/>
    <s v="CUST035"/>
    <s v="Harry Morgan"/>
    <s v="P009"/>
    <s v="Monitor"/>
    <x v="0"/>
    <n v="1"/>
    <n v="249.99"/>
    <s v="Cash"/>
    <x v="2"/>
    <x v="2"/>
    <d v="2023-07-10T00:00:00"/>
    <n v="249.99"/>
    <n v="1037"/>
    <n v="428"/>
  </r>
  <r>
    <s v="TRX0014"/>
    <x v="150"/>
    <s v="CUST033"/>
    <s v="Frank Torres"/>
    <s v="P005"/>
    <s v="Blender"/>
    <x v="1"/>
    <n v="2"/>
    <n v="59.99"/>
    <s v="Credit Card"/>
    <x v="3"/>
    <x v="0"/>
    <d v="2023-09-24T00:00:00"/>
    <n v="119.98"/>
    <n v="961"/>
    <n v="420"/>
  </r>
  <r>
    <s v="TRX0003"/>
    <x v="151"/>
    <s v="CUST002"/>
    <s v="Emma Wilson"/>
    <s v="P008"/>
    <s v="Bookshelf"/>
    <x v="2"/>
    <n v="2"/>
    <n v="149.99"/>
    <s v="Cash"/>
    <x v="3"/>
    <x v="1"/>
    <d v="2023-11-03T00:00:00"/>
    <n v="299.98"/>
    <n v="921"/>
    <n v="417"/>
  </r>
  <r>
    <s v="TRX0124"/>
    <x v="151"/>
    <s v="CUST040"/>
    <s v="Sharon Butler"/>
    <s v="P001"/>
    <s v="Laptop"/>
    <x v="0"/>
    <n v="3"/>
    <n v="899.99"/>
    <s v="Debit Card"/>
    <x v="2"/>
    <x v="1"/>
    <d v="2022-11-11T00:00:00"/>
    <n v="2699.97"/>
    <n v="1278"/>
    <n v="417"/>
  </r>
  <r>
    <s v="TRX0013"/>
    <x v="151"/>
    <s v="CUST024"/>
    <s v="Dorothy Nelson"/>
    <s v="P001"/>
    <s v="Laptop"/>
    <x v="0"/>
    <n v="3"/>
    <n v="899.99"/>
    <s v="PayPal"/>
    <x v="2"/>
    <x v="0"/>
    <d v="2023-02-18T00:00:00"/>
    <n v="2699.97"/>
    <n v="1179"/>
    <n v="417"/>
  </r>
  <r>
    <s v="TRX0019"/>
    <x v="152"/>
    <s v="CUST023"/>
    <s v="Paul Baker"/>
    <s v="P007"/>
    <s v="Desk"/>
    <x v="2"/>
    <n v="3"/>
    <n v="299.99"/>
    <s v="Credit Card"/>
    <x v="3"/>
    <x v="1"/>
    <d v="2023-11-04T00:00:00"/>
    <n v="899.97"/>
    <n v="920"/>
    <n v="415"/>
  </r>
  <r>
    <s v="TRX0050"/>
    <x v="153"/>
    <s v="CUST001"/>
    <s v="John Smith"/>
    <s v="P008"/>
    <s v="Bookshelf"/>
    <x v="2"/>
    <n v="4"/>
    <n v="149.99"/>
    <s v="PayPal"/>
    <x v="3"/>
    <x v="2"/>
    <d v="2021-12-30T00:00:00"/>
    <n v="599.96"/>
    <n v="1594"/>
    <n v="414"/>
  </r>
  <r>
    <s v="TRX0152"/>
    <x v="154"/>
    <s v="CUST044"/>
    <s v="Cynthia Price"/>
    <s v="P004"/>
    <s v="Coffee Maker"/>
    <x v="1"/>
    <n v="4"/>
    <n v="79.989999999999995"/>
    <s v="Credit Card"/>
    <x v="0"/>
    <x v="0"/>
    <d v="2023-12-28T00:00:00"/>
    <n v="319.95999999999998"/>
    <n v="866"/>
    <n v="411"/>
  </r>
  <r>
    <s v="TRX0213"/>
    <x v="155"/>
    <s v="CUST020"/>
    <s v="Margaret Wright"/>
    <s v="P010"/>
    <s v="Keyboard"/>
    <x v="0"/>
    <n v="5"/>
    <n v="89.99"/>
    <s v="PayPal"/>
    <x v="1"/>
    <x v="0"/>
    <d v="2022-05-23T00:00:00"/>
    <n v="449.95"/>
    <n v="1450"/>
    <n v="409"/>
  </r>
  <r>
    <s v="TRX0197"/>
    <x v="156"/>
    <s v="CUST048"/>
    <s v="Virginia Sanders"/>
    <s v="P008"/>
    <s v="Bookshelf"/>
    <x v="2"/>
    <n v="3"/>
    <n v="149.99"/>
    <s v="PayPal"/>
    <x v="0"/>
    <x v="2"/>
    <d v="2023-09-02T00:00:00"/>
    <n v="449.97"/>
    <n v="983"/>
    <n v="408"/>
  </r>
  <r>
    <s v="TRX0250"/>
    <x v="156"/>
    <s v="CUST026"/>
    <s v="Karen Hill"/>
    <s v="P010"/>
    <s v="Keyboard"/>
    <x v="0"/>
    <n v="2"/>
    <n v="89.99"/>
    <s v="Debit Card"/>
    <x v="3"/>
    <x v="1"/>
    <d v="2021-11-22T00:00:00"/>
    <n v="179.98"/>
    <n v="1632"/>
    <n v="408"/>
  </r>
  <r>
    <s v="TRX0068"/>
    <x v="157"/>
    <s v="CUST044"/>
    <s v="Cynthia Price"/>
    <s v="P002"/>
    <s v="Smartphone"/>
    <x v="0"/>
    <n v="2"/>
    <n v="699.99"/>
    <s v="PayPal"/>
    <x v="2"/>
    <x v="2"/>
    <d v="2022-02-26T00:00:00"/>
    <n v="1399.98"/>
    <n v="1536"/>
    <n v="406"/>
  </r>
  <r>
    <s v="TRX0144"/>
    <x v="158"/>
    <s v="CUST029"/>
    <s v="Edward Mitchell"/>
    <s v="P001"/>
    <s v="Laptop"/>
    <x v="0"/>
    <n v="3"/>
    <n v="899.99"/>
    <s v="Cash"/>
    <x v="0"/>
    <x v="2"/>
    <d v="2023-01-27T00:00:00"/>
    <n v="2699.97"/>
    <n v="1201"/>
    <n v="405"/>
  </r>
  <r>
    <s v="TRX0039"/>
    <x v="159"/>
    <s v="CUST048"/>
    <s v="Virginia Sanders"/>
    <s v="P004"/>
    <s v="Coffee Maker"/>
    <x v="1"/>
    <n v="3"/>
    <n v="79.989999999999995"/>
    <s v="Credit Card"/>
    <x v="2"/>
    <x v="0"/>
    <d v="2021-11-11T00:00:00"/>
    <n v="239.97"/>
    <n v="1643"/>
    <n v="399"/>
  </r>
  <r>
    <s v="TRX0116"/>
    <x v="160"/>
    <s v="CUST009"/>
    <s v="Robert Thomas"/>
    <s v="P010"/>
    <s v="Keyboard"/>
    <x v="0"/>
    <n v="1"/>
    <n v="89.99"/>
    <s v="Debit Card"/>
    <x v="4"/>
    <x v="0"/>
    <d v="2024-02-24T00:00:00"/>
    <n v="89.99"/>
    <n v="808"/>
    <n v="398"/>
  </r>
  <r>
    <s v="TRX0120"/>
    <x v="161"/>
    <s v="CUST045"/>
    <s v="Douglas Watson"/>
    <s v="P002"/>
    <s v="Smartphone"/>
    <x v="0"/>
    <n v="3"/>
    <n v="699.99"/>
    <s v="PayPal"/>
    <x v="2"/>
    <x v="0"/>
    <d v="2022-12-14T00:00:00"/>
    <n v="2099.9699999999998"/>
    <n v="1245"/>
    <n v="396"/>
  </r>
  <r>
    <s v="TRX0103"/>
    <x v="161"/>
    <s v="CUST039"/>
    <s v="Lawrence Reed"/>
    <s v="P010"/>
    <s v="Keyboard"/>
    <x v="0"/>
    <n v="2"/>
    <n v="89.99"/>
    <s v="Debit Card"/>
    <x v="4"/>
    <x v="0"/>
    <d v="2023-06-11T00:00:00"/>
    <n v="179.98"/>
    <n v="1066"/>
    <n v="396"/>
  </r>
  <r>
    <s v="TRX0064"/>
    <x v="161"/>
    <s v="CUST031"/>
    <s v="Steven Turner"/>
    <s v="P010"/>
    <s v="Keyboard"/>
    <x v="0"/>
    <n v="3"/>
    <n v="89.99"/>
    <s v="Debit Card"/>
    <x v="2"/>
    <x v="1"/>
    <d v="2022-11-13T00:00:00"/>
    <n v="269.97000000000003"/>
    <n v="1276"/>
    <n v="3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s v="Monitor"/>
    <x v="0"/>
    <n v="3"/>
    <n v="249.99"/>
    <s v="Cash"/>
    <s v="Central"/>
    <x v="0"/>
    <d v="2021-08-17T00:00:00"/>
    <n v="749.97"/>
    <n v="1729"/>
    <n v="761"/>
    <x v="0"/>
    <n v="202404"/>
  </r>
  <r>
    <s v="TRX0023"/>
    <d v="2024-04-14T00:00:00"/>
    <s v="CUST013"/>
    <x v="1"/>
    <s v="P009"/>
    <s v="Monitor"/>
    <x v="0"/>
    <n v="3"/>
    <n v="249.99"/>
    <s v="Credit Card"/>
    <s v="Central"/>
    <x v="1"/>
    <d v="2022-01-14T00:00:00"/>
    <n v="749.97"/>
    <n v="1579"/>
    <n v="758"/>
    <x v="0"/>
    <n v="202404"/>
  </r>
  <r>
    <s v="TRX0139"/>
    <d v="2024-04-17T00:00:00"/>
    <s v="CUST021"/>
    <x v="2"/>
    <s v="P005"/>
    <s v="Blender"/>
    <x v="1"/>
    <n v="3"/>
    <n v="59.99"/>
    <s v="PayPal"/>
    <s v="South"/>
    <x v="2"/>
    <d v="2023-12-02T00:00:00"/>
    <n v="179.97"/>
    <n v="892"/>
    <n v="755"/>
    <x v="0"/>
    <n v="202404"/>
  </r>
  <r>
    <s v="TRX0043"/>
    <d v="2024-04-18T00:00:00"/>
    <s v="CUST046"/>
    <x v="3"/>
    <s v="P005"/>
    <s v="Blender"/>
    <x v="1"/>
    <n v="3"/>
    <n v="59.99"/>
    <s v="Cash"/>
    <s v="North"/>
    <x v="1"/>
    <d v="2023-07-07T00:00:00"/>
    <n v="179.97"/>
    <n v="1040"/>
    <n v="754"/>
    <x v="0"/>
    <n v="202404"/>
  </r>
  <r>
    <s v="TRX0212"/>
    <d v="2024-04-18T00:00:00"/>
    <s v="CUST003"/>
    <x v="4"/>
    <s v="P008"/>
    <s v="Bookshelf"/>
    <x v="2"/>
    <n v="5"/>
    <n v="149.99"/>
    <s v="Credit Card"/>
    <s v="North"/>
    <x v="1"/>
    <d v="2024-01-04T00:00:00"/>
    <n v="749.95"/>
    <n v="859"/>
    <n v="754"/>
    <x v="0"/>
    <n v="202404"/>
  </r>
  <r>
    <s v="TRX0092"/>
    <d v="2024-04-21T00:00:00"/>
    <s v="CUST024"/>
    <x v="5"/>
    <s v="P005"/>
    <s v="Blender"/>
    <x v="1"/>
    <n v="2"/>
    <n v="59.99"/>
    <s v="Cash"/>
    <s v="West"/>
    <x v="2"/>
    <d v="2022-07-04T00:00:00"/>
    <n v="119.98"/>
    <n v="1408"/>
    <n v="751"/>
    <x v="0"/>
    <n v="202404"/>
  </r>
  <r>
    <s v="TRX0193"/>
    <d v="2024-04-21T00:00:00"/>
    <s v="CUST024"/>
    <x v="5"/>
    <s v="P003"/>
    <s v="Headphones"/>
    <x v="0"/>
    <n v="5"/>
    <n v="149.99"/>
    <s v="Credit Card"/>
    <s v="Central"/>
    <x v="2"/>
    <d v="2021-08-10T00:00:00"/>
    <n v="749.95"/>
    <n v="1736"/>
    <n v="751"/>
    <x v="0"/>
    <n v="202404"/>
  </r>
  <r>
    <s v="TRX0240"/>
    <d v="2024-04-21T00:00:00"/>
    <s v="CUST017"/>
    <x v="6"/>
    <s v="P005"/>
    <s v="Blender"/>
    <x v="1"/>
    <n v="3"/>
    <n v="59.99"/>
    <s v="Debit Card"/>
    <s v="South"/>
    <x v="0"/>
    <d v="2023-03-22T00:00:00"/>
    <n v="179.97"/>
    <n v="1147"/>
    <n v="751"/>
    <x v="0"/>
    <n v="202404"/>
  </r>
  <r>
    <s v="TRX0135"/>
    <d v="2024-04-23T00:00:00"/>
    <s v="CUST009"/>
    <x v="7"/>
    <s v="P001"/>
    <s v="Laptop"/>
    <x v="0"/>
    <n v="3"/>
    <n v="899.99"/>
    <s v="PayPal"/>
    <s v="East"/>
    <x v="2"/>
    <d v="2024-01-08T00:00:00"/>
    <n v="2699.97"/>
    <n v="855"/>
    <n v="749"/>
    <x v="0"/>
    <n v="202404"/>
  </r>
  <r>
    <s v="TRX0185"/>
    <d v="2024-04-26T00:00:00"/>
    <s v="CUST026"/>
    <x v="8"/>
    <s v="P005"/>
    <s v="Blender"/>
    <x v="1"/>
    <n v="3"/>
    <n v="59.99"/>
    <s v="Cash"/>
    <s v="West"/>
    <x v="1"/>
    <d v="2023-10-08T00:00:00"/>
    <n v="179.97"/>
    <n v="947"/>
    <n v="746"/>
    <x v="0"/>
    <n v="202404"/>
  </r>
  <r>
    <s v="TRX0138"/>
    <d v="2024-04-26T00:00:00"/>
    <s v="CUST022"/>
    <x v="9"/>
    <s v="P008"/>
    <s v="Bookshelf"/>
    <x v="2"/>
    <n v="1"/>
    <n v="149.99"/>
    <s v="Credit Card"/>
    <s v="West"/>
    <x v="2"/>
    <d v="2023-06-26T00:00:00"/>
    <n v="149.99"/>
    <n v="1051"/>
    <n v="746"/>
    <x v="0"/>
    <n v="202404"/>
  </r>
  <r>
    <s v="TRX0209"/>
    <d v="2024-04-26T00:00:00"/>
    <s v="CUST046"/>
    <x v="3"/>
    <s v="P008"/>
    <s v="Bookshelf"/>
    <x v="2"/>
    <n v="5"/>
    <n v="149.99"/>
    <s v="Debit Card"/>
    <s v="North"/>
    <x v="0"/>
    <d v="2022-09-26T00:00:00"/>
    <n v="749.95"/>
    <n v="1324"/>
    <n v="746"/>
    <x v="0"/>
    <n v="202404"/>
  </r>
  <r>
    <s v="TRX0246"/>
    <d v="2024-04-26T00:00:00"/>
    <s v="CUST041"/>
    <x v="10"/>
    <s v="P008"/>
    <s v="Bookshelf"/>
    <x v="2"/>
    <n v="3"/>
    <n v="149.99"/>
    <s v="Cash"/>
    <s v="North"/>
    <x v="1"/>
    <d v="2022-09-02T00:00:00"/>
    <n v="449.97"/>
    <n v="1348"/>
    <n v="746"/>
    <x v="0"/>
    <n v="202404"/>
  </r>
  <r>
    <s v="TRX0067"/>
    <d v="2024-04-27T00:00:00"/>
    <s v="CUST043"/>
    <x v="11"/>
    <s v="P005"/>
    <s v="Blender"/>
    <x v="1"/>
    <n v="3"/>
    <n v="59.99"/>
    <s v="Credit Card"/>
    <s v="North"/>
    <x v="2"/>
    <d v="2024-02-29T00:00:00"/>
    <n v="179.97"/>
    <n v="803"/>
    <n v="745"/>
    <x v="0"/>
    <n v="202404"/>
  </r>
  <r>
    <s v="TRX0191"/>
    <d v="2024-04-27T00:00:00"/>
    <s v="CUST038"/>
    <x v="12"/>
    <s v="P002"/>
    <s v="Smartphone"/>
    <x v="0"/>
    <n v="3"/>
    <n v="699.99"/>
    <s v="Credit Card"/>
    <s v="West"/>
    <x v="0"/>
    <d v="2022-01-16T00:00:00"/>
    <n v="2099.9699999999998"/>
    <n v="1577"/>
    <n v="745"/>
    <x v="0"/>
    <n v="202404"/>
  </r>
  <r>
    <s v="TRX0230"/>
    <d v="2024-04-27T00:00:00"/>
    <s v="CUST027"/>
    <x v="13"/>
    <s v="P001"/>
    <s v="Laptop"/>
    <x v="0"/>
    <n v="1"/>
    <n v="899.99"/>
    <s v="Debit Card"/>
    <s v="North"/>
    <x v="2"/>
    <d v="2022-12-25T00:00:00"/>
    <n v="899.99"/>
    <n v="1234"/>
    <n v="745"/>
    <x v="0"/>
    <n v="202404"/>
  </r>
  <r>
    <s v="TRX0049"/>
    <d v="2024-04-28T00:00:00"/>
    <s v="CUST025"/>
    <x v="14"/>
    <s v="P008"/>
    <s v="Bookshelf"/>
    <x v="2"/>
    <n v="4"/>
    <n v="149.99"/>
    <s v="Debit Card"/>
    <s v="North"/>
    <x v="1"/>
    <d v="2024-03-23T00:00:00"/>
    <n v="599.96"/>
    <n v="780"/>
    <n v="744"/>
    <x v="0"/>
    <n v="202404"/>
  </r>
  <r>
    <s v="TRX0134"/>
    <d v="2024-04-28T00:00:00"/>
    <s v="CUST010"/>
    <x v="15"/>
    <s v="P002"/>
    <s v="Smartphone"/>
    <x v="0"/>
    <n v="2"/>
    <n v="699.99"/>
    <s v="Cash"/>
    <s v="North"/>
    <x v="0"/>
    <d v="2022-08-08T00:00:00"/>
    <n v="1399.98"/>
    <n v="1373"/>
    <n v="744"/>
    <x v="0"/>
    <n v="202404"/>
  </r>
  <r>
    <s v="TRX0122"/>
    <d v="2024-04-28T00:00:00"/>
    <s v="CUST025"/>
    <x v="14"/>
    <s v="P001"/>
    <s v="Laptop"/>
    <x v="0"/>
    <n v="4"/>
    <n v="899.99"/>
    <s v="Credit Card"/>
    <s v="West"/>
    <x v="2"/>
    <d v="2024-02-05T00:00:00"/>
    <n v="3599.96"/>
    <n v="827"/>
    <n v="744"/>
    <x v="0"/>
    <n v="202404"/>
  </r>
  <r>
    <s v="TRX0222"/>
    <d v="2024-04-28T00:00:00"/>
    <s v="CUST048"/>
    <x v="16"/>
    <s v="P009"/>
    <s v="Monitor"/>
    <x v="0"/>
    <n v="3"/>
    <n v="249.99"/>
    <s v="Credit Card"/>
    <s v="North"/>
    <x v="1"/>
    <d v="2023-10-25T00:00:00"/>
    <n v="749.97"/>
    <n v="930"/>
    <n v="744"/>
    <x v="0"/>
    <n v="202404"/>
  </r>
  <r>
    <s v="TRX0231"/>
    <d v="2024-04-30T00:00:00"/>
    <s v="CUST018"/>
    <x v="17"/>
    <s v="P002"/>
    <s v="Smartphone"/>
    <x v="0"/>
    <n v="5"/>
    <n v="699.99"/>
    <s v="Cash"/>
    <s v="West"/>
    <x v="0"/>
    <d v="2023-08-29T00:00:00"/>
    <n v="3499.95"/>
    <n v="987"/>
    <n v="742"/>
    <x v="0"/>
    <n v="202404"/>
  </r>
  <r>
    <s v="TRX0239"/>
    <d v="2024-05-01T00:00:00"/>
    <s v="CUST012"/>
    <x v="18"/>
    <s v="P002"/>
    <s v="Smartphone"/>
    <x v="0"/>
    <n v="4"/>
    <n v="699.99"/>
    <s v="Cash"/>
    <s v="East"/>
    <x v="2"/>
    <d v="2021-08-01T00:00:00"/>
    <n v="2799.96"/>
    <n v="1745"/>
    <n v="741"/>
    <x v="1"/>
    <n v="202405"/>
  </r>
  <r>
    <s v="TRX0204"/>
    <d v="2024-05-03T00:00:00"/>
    <s v="CUST044"/>
    <x v="19"/>
    <s v="P009"/>
    <s v="Monitor"/>
    <x v="0"/>
    <n v="4"/>
    <n v="249.99"/>
    <s v="PayPal"/>
    <s v="North"/>
    <x v="2"/>
    <d v="2021-09-29T00:00:00"/>
    <n v="999.96"/>
    <n v="1686"/>
    <n v="739"/>
    <x v="1"/>
    <n v="202405"/>
  </r>
  <r>
    <s v="TRX0242"/>
    <d v="2024-05-04T00:00:00"/>
    <s v="CUST025"/>
    <x v="14"/>
    <s v="P007"/>
    <s v="Desk"/>
    <x v="2"/>
    <n v="4"/>
    <n v="299.99"/>
    <s v="Cash"/>
    <s v="West"/>
    <x v="1"/>
    <d v="2022-06-04T00:00:00"/>
    <n v="1199.96"/>
    <n v="1438"/>
    <n v="738"/>
    <x v="1"/>
    <n v="202405"/>
  </r>
  <r>
    <s v="TRX0071"/>
    <d v="2024-05-10T00:00:00"/>
    <s v="CUST036"/>
    <x v="20"/>
    <s v="P009"/>
    <s v="Monitor"/>
    <x v="0"/>
    <n v="5"/>
    <n v="249.99"/>
    <s v="Credit Card"/>
    <s v="West"/>
    <x v="2"/>
    <d v="2021-11-25T00:00:00"/>
    <n v="1249.95"/>
    <n v="1629"/>
    <n v="732"/>
    <x v="1"/>
    <n v="202405"/>
  </r>
  <r>
    <s v="TRX0040"/>
    <d v="2024-05-12T00:00:00"/>
    <s v="CUST022"/>
    <x v="9"/>
    <s v="P007"/>
    <s v="Desk"/>
    <x v="2"/>
    <n v="5"/>
    <n v="299.99"/>
    <s v="PayPal"/>
    <s v="East"/>
    <x v="0"/>
    <d v="2023-08-30T00:00:00"/>
    <n v="1499.95"/>
    <n v="986"/>
    <n v="730"/>
    <x v="1"/>
    <n v="202405"/>
  </r>
  <r>
    <s v="TRX0235"/>
    <d v="2024-05-12T00:00:00"/>
    <s v="CUST014"/>
    <x v="21"/>
    <s v="P004"/>
    <s v="Coffee Maker"/>
    <x v="1"/>
    <n v="3"/>
    <n v="79.989999999999995"/>
    <s v="PayPal"/>
    <s v="East"/>
    <x v="1"/>
    <d v="2023-03-27T00:00:00"/>
    <n v="239.97"/>
    <n v="1142"/>
    <n v="730"/>
    <x v="1"/>
    <n v="202405"/>
  </r>
  <r>
    <s v="TRX0004"/>
    <d v="2024-05-12T00:00:00"/>
    <s v="CUST012"/>
    <x v="18"/>
    <s v="P010"/>
    <s v="Keyboard"/>
    <x v="0"/>
    <n v="5"/>
    <n v="89.99"/>
    <s v="Cash"/>
    <s v="North"/>
    <x v="1"/>
    <d v="2022-12-24T00:00:00"/>
    <n v="449.95"/>
    <n v="1235"/>
    <n v="730"/>
    <x v="1"/>
    <n v="202405"/>
  </r>
  <r>
    <s v="TRX0063"/>
    <d v="2024-05-13T00:00:00"/>
    <s v="CUST030"/>
    <x v="22"/>
    <s v="P005"/>
    <s v="Blender"/>
    <x v="1"/>
    <n v="2"/>
    <n v="59.99"/>
    <s v="Debit Card"/>
    <s v="Central"/>
    <x v="2"/>
    <d v="2023-10-15T00:00:00"/>
    <n v="119.98"/>
    <n v="940"/>
    <n v="729"/>
    <x v="1"/>
    <n v="202405"/>
  </r>
  <r>
    <s v="TRX0241"/>
    <d v="2024-05-15T00:00:00"/>
    <s v="CUST029"/>
    <x v="23"/>
    <s v="P005"/>
    <s v="Blender"/>
    <x v="1"/>
    <n v="4"/>
    <n v="59.99"/>
    <s v="Debit Card"/>
    <s v="East"/>
    <x v="2"/>
    <d v="2022-11-02T00:00:00"/>
    <n v="239.96"/>
    <n v="1287"/>
    <n v="727"/>
    <x v="1"/>
    <n v="202405"/>
  </r>
  <r>
    <s v="TRX0029"/>
    <d v="2024-05-15T00:00:00"/>
    <s v="CUST017"/>
    <x v="6"/>
    <s v="P006"/>
    <s v="Office Chair"/>
    <x v="2"/>
    <n v="5"/>
    <n v="199.99"/>
    <s v="Cash"/>
    <s v="South"/>
    <x v="2"/>
    <d v="2021-08-04T00:00:00"/>
    <n v="999.95"/>
    <n v="1742"/>
    <n v="727"/>
    <x v="1"/>
    <n v="202405"/>
  </r>
  <r>
    <s v="TRX0194"/>
    <d v="2024-05-16T00:00:00"/>
    <s v="CUST006"/>
    <x v="24"/>
    <s v="P008"/>
    <s v="Bookshelf"/>
    <x v="2"/>
    <n v="2"/>
    <n v="149.99"/>
    <s v="Credit Card"/>
    <s v="West"/>
    <x v="0"/>
    <d v="2022-09-19T00:00:00"/>
    <n v="299.98"/>
    <n v="1331"/>
    <n v="726"/>
    <x v="1"/>
    <n v="202405"/>
  </r>
  <r>
    <s v="TRX0130"/>
    <d v="2024-05-18T00:00:00"/>
    <s v="CUST002"/>
    <x v="25"/>
    <s v="P008"/>
    <s v="Bookshelf"/>
    <x v="2"/>
    <n v="3"/>
    <n v="149.99"/>
    <s v="Credit Card"/>
    <s v="West"/>
    <x v="1"/>
    <d v="2023-05-22T00:00:00"/>
    <n v="449.97"/>
    <n v="1086"/>
    <n v="724"/>
    <x v="1"/>
    <n v="202405"/>
  </r>
  <r>
    <s v="TRX0041"/>
    <d v="2024-05-20T00:00:00"/>
    <s v="CUST021"/>
    <x v="2"/>
    <s v="P001"/>
    <s v="Laptop"/>
    <x v="0"/>
    <n v="1"/>
    <n v="899.99"/>
    <s v="Credit Card"/>
    <s v="West"/>
    <x v="1"/>
    <d v="2022-01-17T00:00:00"/>
    <n v="899.99"/>
    <n v="1576"/>
    <n v="722"/>
    <x v="1"/>
    <n v="202405"/>
  </r>
  <r>
    <s v="TRX0232"/>
    <d v="2024-05-22T00:00:00"/>
    <s v="CUST012"/>
    <x v="18"/>
    <s v="P007"/>
    <s v="Desk"/>
    <x v="2"/>
    <n v="3"/>
    <n v="299.99"/>
    <s v="Credit Card"/>
    <s v="East"/>
    <x v="0"/>
    <d v="2022-09-20T00:00:00"/>
    <n v="899.97"/>
    <n v="1330"/>
    <n v="720"/>
    <x v="1"/>
    <n v="202405"/>
  </r>
  <r>
    <s v="TRX0021"/>
    <d v="2024-05-23T00:00:00"/>
    <s v="CUST006"/>
    <x v="24"/>
    <s v="P004"/>
    <s v="Coffee Maker"/>
    <x v="1"/>
    <n v="3"/>
    <n v="79.989999999999995"/>
    <s v="Cash"/>
    <s v="South"/>
    <x v="0"/>
    <d v="2023-04-30T00:00:00"/>
    <n v="239.97"/>
    <n v="1108"/>
    <n v="719"/>
    <x v="1"/>
    <n v="202405"/>
  </r>
  <r>
    <s v="TRX0245"/>
    <d v="2024-05-26T00:00:00"/>
    <s v="CUST031"/>
    <x v="26"/>
    <s v="P006"/>
    <s v="Office Chair"/>
    <x v="2"/>
    <n v="3"/>
    <n v="199.99"/>
    <s v="Credit Card"/>
    <s v="North"/>
    <x v="1"/>
    <d v="2024-01-01T00:00:00"/>
    <n v="599.97"/>
    <n v="862"/>
    <n v="716"/>
    <x v="1"/>
    <n v="202405"/>
  </r>
  <r>
    <s v="TRX0015"/>
    <d v="2024-05-28T00:00:00"/>
    <s v="CUST008"/>
    <x v="27"/>
    <s v="P002"/>
    <s v="Smartphone"/>
    <x v="0"/>
    <n v="5"/>
    <n v="699.99"/>
    <s v="PayPal"/>
    <s v="West"/>
    <x v="2"/>
    <d v="2021-07-30T00:00:00"/>
    <n v="3499.95"/>
    <n v="1747"/>
    <n v="714"/>
    <x v="1"/>
    <n v="202405"/>
  </r>
  <r>
    <s v="TRX0202"/>
    <d v="2024-05-29T00:00:00"/>
    <s v="CUST035"/>
    <x v="28"/>
    <s v="P010"/>
    <s v="Keyboard"/>
    <x v="0"/>
    <n v="3"/>
    <n v="89.99"/>
    <s v="PayPal"/>
    <s v="Central"/>
    <x v="1"/>
    <d v="2023-07-13T00:00:00"/>
    <n v="269.97000000000003"/>
    <n v="1034"/>
    <n v="713"/>
    <x v="1"/>
    <n v="202405"/>
  </r>
  <r>
    <s v="TRX0042"/>
    <d v="2024-05-31T00:00:00"/>
    <s v="CUST019"/>
    <x v="29"/>
    <s v="P004"/>
    <s v="Coffee Maker"/>
    <x v="1"/>
    <n v="1"/>
    <n v="79.989999999999995"/>
    <s v="Cash"/>
    <s v="North"/>
    <x v="2"/>
    <d v="2022-12-22T00:00:00"/>
    <n v="79.989999999999995"/>
    <n v="1237"/>
    <n v="711"/>
    <x v="1"/>
    <n v="202405"/>
  </r>
  <r>
    <s v="TRX0128"/>
    <d v="2024-06-01T00:00:00"/>
    <s v="CUST040"/>
    <x v="30"/>
    <s v="P005"/>
    <s v="Blender"/>
    <x v="1"/>
    <n v="2"/>
    <n v="59.99"/>
    <s v="Cash"/>
    <s v="West"/>
    <x v="0"/>
    <d v="2024-04-08T00:00:00"/>
    <n v="119.98"/>
    <n v="764"/>
    <n v="710"/>
    <x v="2"/>
    <n v="202406"/>
  </r>
  <r>
    <s v="TRX0117"/>
    <d v="2024-06-01T00:00:00"/>
    <s v="CUST017"/>
    <x v="6"/>
    <s v="P010"/>
    <s v="Keyboard"/>
    <x v="0"/>
    <n v="1"/>
    <n v="89.99"/>
    <s v="Cash"/>
    <s v="North"/>
    <x v="0"/>
    <d v="2023-08-03T00:00:00"/>
    <n v="89.99"/>
    <n v="1013"/>
    <n v="710"/>
    <x v="2"/>
    <n v="202406"/>
  </r>
  <r>
    <s v="TRX0208"/>
    <d v="2024-06-03T00:00:00"/>
    <s v="CUST004"/>
    <x v="31"/>
    <s v="P010"/>
    <s v="Keyboard"/>
    <x v="0"/>
    <n v="5"/>
    <n v="89.99"/>
    <s v="Credit Card"/>
    <s v="East"/>
    <x v="2"/>
    <d v="2022-01-26T00:00:00"/>
    <n v="449.95"/>
    <n v="1567"/>
    <n v="708"/>
    <x v="2"/>
    <n v="202406"/>
  </r>
  <r>
    <s v="TRX0234"/>
    <d v="2024-06-06T00:00:00"/>
    <s v="CUST013"/>
    <x v="1"/>
    <s v="P009"/>
    <s v="Monitor"/>
    <x v="0"/>
    <n v="5"/>
    <n v="249.99"/>
    <s v="Credit Card"/>
    <s v="East"/>
    <x v="2"/>
    <d v="2022-05-26T00:00:00"/>
    <n v="1249.95"/>
    <n v="1447"/>
    <n v="705"/>
    <x v="2"/>
    <n v="202406"/>
  </r>
  <r>
    <s v="TRX0121"/>
    <d v="2024-06-06T00:00:00"/>
    <s v="CUST028"/>
    <x v="32"/>
    <s v="P010"/>
    <s v="Keyboard"/>
    <x v="0"/>
    <n v="1"/>
    <n v="89.99"/>
    <s v="Credit Card"/>
    <s v="South"/>
    <x v="2"/>
    <d v="2022-01-21T00:00:00"/>
    <n v="89.99"/>
    <n v="1572"/>
    <n v="705"/>
    <x v="2"/>
    <n v="202406"/>
  </r>
  <r>
    <s v="TRX0220"/>
    <d v="2024-06-07T00:00:00"/>
    <s v="CUST003"/>
    <x v="4"/>
    <s v="P008"/>
    <s v="Bookshelf"/>
    <x v="2"/>
    <n v="2"/>
    <n v="149.99"/>
    <s v="Cash"/>
    <s v="East"/>
    <x v="1"/>
    <d v="2022-03-25T00:00:00"/>
    <n v="299.98"/>
    <n v="1509"/>
    <n v="704"/>
    <x v="2"/>
    <n v="202406"/>
  </r>
  <r>
    <s v="TRX0093"/>
    <d v="2024-06-09T00:00:00"/>
    <s v="CUST050"/>
    <x v="33"/>
    <s v="P005"/>
    <s v="Blender"/>
    <x v="1"/>
    <n v="4"/>
    <n v="59.99"/>
    <s v="Cash"/>
    <s v="East"/>
    <x v="2"/>
    <d v="2021-08-27T00:00:00"/>
    <n v="239.96"/>
    <n v="1719"/>
    <n v="702"/>
    <x v="2"/>
    <n v="202406"/>
  </r>
  <r>
    <s v="TRX0088"/>
    <d v="2024-06-13T00:00:00"/>
    <s v="CUST006"/>
    <x v="24"/>
    <s v="P010"/>
    <s v="Keyboard"/>
    <x v="0"/>
    <n v="5"/>
    <n v="89.99"/>
    <s v="Cash"/>
    <s v="Central"/>
    <x v="1"/>
    <d v="2022-01-18T00:00:00"/>
    <n v="449.95"/>
    <n v="1575"/>
    <n v="698"/>
    <x v="2"/>
    <n v="202406"/>
  </r>
  <r>
    <s v="TRX0115"/>
    <d v="2024-06-16T00:00:00"/>
    <s v="CUST012"/>
    <x v="18"/>
    <s v="P010"/>
    <s v="Keyboard"/>
    <x v="0"/>
    <n v="2"/>
    <n v="89.99"/>
    <s v="Credit Card"/>
    <s v="South"/>
    <x v="1"/>
    <d v="2021-10-02T00:00:00"/>
    <n v="179.98"/>
    <n v="1683"/>
    <n v="695"/>
    <x v="2"/>
    <n v="202406"/>
  </r>
  <r>
    <s v="TRX0154"/>
    <d v="2024-06-16T00:00:00"/>
    <s v="CUST023"/>
    <x v="0"/>
    <s v="P001"/>
    <s v="Laptop"/>
    <x v="0"/>
    <n v="5"/>
    <n v="899.99"/>
    <s v="Credit Card"/>
    <s v="South"/>
    <x v="2"/>
    <d v="2023-02-17T00:00:00"/>
    <n v="4499.95"/>
    <n v="1180"/>
    <n v="695"/>
    <x v="2"/>
    <n v="202406"/>
  </r>
  <r>
    <s v="TRX0044"/>
    <d v="2024-06-16T00:00:00"/>
    <s v="CUST029"/>
    <x v="23"/>
    <s v="P001"/>
    <s v="Laptop"/>
    <x v="0"/>
    <n v="5"/>
    <n v="899.99"/>
    <s v="PayPal"/>
    <s v="East"/>
    <x v="1"/>
    <d v="2023-12-18T00:00:00"/>
    <n v="4499.95"/>
    <n v="876"/>
    <n v="695"/>
    <x v="2"/>
    <n v="202406"/>
  </r>
  <r>
    <s v="TRX0061"/>
    <d v="2024-06-17T00:00:00"/>
    <s v="CUST028"/>
    <x v="32"/>
    <s v="P005"/>
    <s v="Blender"/>
    <x v="1"/>
    <n v="1"/>
    <n v="59.99"/>
    <s v="Debit Card"/>
    <s v="West"/>
    <x v="1"/>
    <d v="2023-09-21T00:00:00"/>
    <n v="59.99"/>
    <n v="964"/>
    <n v="694"/>
    <x v="2"/>
    <n v="202406"/>
  </r>
  <r>
    <s v="TRX0150"/>
    <d v="2024-06-17T00:00:00"/>
    <s v="CUST008"/>
    <x v="27"/>
    <s v="P007"/>
    <s v="Desk"/>
    <x v="2"/>
    <n v="2"/>
    <n v="299.99"/>
    <s v="Debit Card"/>
    <s v="East"/>
    <x v="2"/>
    <d v="2023-11-23T00:00:00"/>
    <n v="599.98"/>
    <n v="901"/>
    <n v="694"/>
    <x v="2"/>
    <n v="202406"/>
  </r>
  <r>
    <s v="TRX0025"/>
    <d v="2024-06-25T00:00:00"/>
    <s v="CUST049"/>
    <x v="34"/>
    <s v="P010"/>
    <s v="Keyboard"/>
    <x v="0"/>
    <n v="4"/>
    <n v="89.99"/>
    <s v="Debit Card"/>
    <s v="South"/>
    <x v="0"/>
    <d v="2023-12-21T00:00:00"/>
    <n v="359.96"/>
    <n v="873"/>
    <n v="686"/>
    <x v="2"/>
    <n v="202406"/>
  </r>
  <r>
    <s v="TRX0078"/>
    <d v="2024-06-26T00:00:00"/>
    <s v="CUST021"/>
    <x v="2"/>
    <s v="P004"/>
    <s v="Coffee Maker"/>
    <x v="1"/>
    <n v="1"/>
    <n v="79.989999999999995"/>
    <s v="PayPal"/>
    <s v="Central"/>
    <x v="1"/>
    <d v="2024-03-01T00:00:00"/>
    <n v="79.989999999999995"/>
    <n v="802"/>
    <n v="685"/>
    <x v="2"/>
    <n v="202406"/>
  </r>
  <r>
    <s v="TRX0007"/>
    <d v="2024-06-26T00:00:00"/>
    <s v="CUST009"/>
    <x v="7"/>
    <s v="P010"/>
    <s v="Keyboard"/>
    <x v="0"/>
    <n v="2"/>
    <n v="89.99"/>
    <s v="Cash"/>
    <s v="West"/>
    <x v="0"/>
    <d v="2021-08-30T00:00:00"/>
    <n v="179.98"/>
    <n v="1716"/>
    <n v="685"/>
    <x v="2"/>
    <n v="202406"/>
  </r>
  <r>
    <s v="TRX0184"/>
    <d v="2024-06-28T00:00:00"/>
    <s v="CUST046"/>
    <x v="3"/>
    <s v="P002"/>
    <s v="Smartphone"/>
    <x v="0"/>
    <n v="3"/>
    <n v="699.99"/>
    <s v="Credit Card"/>
    <s v="East"/>
    <x v="1"/>
    <d v="2023-06-25T00:00:00"/>
    <n v="2099.9699999999998"/>
    <n v="1052"/>
    <n v="683"/>
    <x v="2"/>
    <n v="202406"/>
  </r>
  <r>
    <s v="TRX0104"/>
    <d v="2024-06-28T00:00:00"/>
    <s v="CUST012"/>
    <x v="18"/>
    <s v="P001"/>
    <s v="Laptop"/>
    <x v="0"/>
    <n v="4"/>
    <n v="899.99"/>
    <s v="Credit Card"/>
    <s v="East"/>
    <x v="1"/>
    <d v="2023-03-08T00:00:00"/>
    <n v="3599.96"/>
    <n v="1161"/>
    <n v="683"/>
    <x v="2"/>
    <n v="202406"/>
  </r>
  <r>
    <s v="TRX0127"/>
    <d v="2024-06-29T00:00:00"/>
    <s v="CUST030"/>
    <x v="22"/>
    <s v="P008"/>
    <s v="Bookshelf"/>
    <x v="2"/>
    <n v="1"/>
    <n v="149.99"/>
    <s v="PayPal"/>
    <s v="East"/>
    <x v="0"/>
    <d v="2022-10-17T00:00:00"/>
    <n v="149.99"/>
    <n v="1303"/>
    <n v="682"/>
    <x v="2"/>
    <n v="202406"/>
  </r>
  <r>
    <s v="TRX0096"/>
    <d v="2024-07-01T00:00:00"/>
    <s v="CUST002"/>
    <x v="25"/>
    <s v="P010"/>
    <s v="Keyboard"/>
    <x v="0"/>
    <n v="2"/>
    <n v="89.99"/>
    <s v="PayPal"/>
    <s v="Central"/>
    <x v="1"/>
    <d v="2023-12-15T00:00:00"/>
    <n v="179.98"/>
    <n v="879"/>
    <n v="680"/>
    <x v="3"/>
    <n v="202407"/>
  </r>
  <r>
    <s v="TRX0192"/>
    <d v="2024-07-02T00:00:00"/>
    <s v="CUST017"/>
    <x v="6"/>
    <s v="P010"/>
    <s v="Keyboard"/>
    <x v="0"/>
    <n v="1"/>
    <n v="89.99"/>
    <s v="PayPal"/>
    <s v="West"/>
    <x v="2"/>
    <d v="2022-08-29T00:00:00"/>
    <n v="89.99"/>
    <n v="1352"/>
    <n v="679"/>
    <x v="3"/>
    <n v="202407"/>
  </r>
  <r>
    <s v="TRX0052"/>
    <d v="2024-07-03T00:00:00"/>
    <s v="CUST022"/>
    <x v="9"/>
    <s v="P010"/>
    <s v="Keyboard"/>
    <x v="0"/>
    <n v="1"/>
    <n v="89.99"/>
    <s v="Cash"/>
    <s v="South"/>
    <x v="2"/>
    <d v="2022-02-19T00:00:00"/>
    <n v="89.99"/>
    <n v="1543"/>
    <n v="678"/>
    <x v="3"/>
    <n v="202407"/>
  </r>
  <r>
    <s v="TRX0070"/>
    <d v="2024-07-03T00:00:00"/>
    <s v="CUST007"/>
    <x v="35"/>
    <s v="P004"/>
    <s v="Coffee Maker"/>
    <x v="1"/>
    <n v="5"/>
    <n v="79.989999999999995"/>
    <s v="Debit Card"/>
    <s v="Central"/>
    <x v="0"/>
    <d v="2023-02-24T00:00:00"/>
    <n v="399.95"/>
    <n v="1173"/>
    <n v="678"/>
    <x v="3"/>
    <n v="202407"/>
  </r>
  <r>
    <s v="TRX0086"/>
    <d v="2024-07-08T00:00:00"/>
    <s v="CUST020"/>
    <x v="36"/>
    <s v="P008"/>
    <s v="Bookshelf"/>
    <x v="2"/>
    <n v="1"/>
    <n v="149.99"/>
    <s v="PayPal"/>
    <s v="North"/>
    <x v="0"/>
    <d v="2021-08-13T00:00:00"/>
    <n v="149.99"/>
    <n v="1733"/>
    <n v="673"/>
    <x v="3"/>
    <n v="202407"/>
  </r>
  <r>
    <s v="TRX0113"/>
    <d v="2024-07-08T00:00:00"/>
    <s v="CUST003"/>
    <x v="4"/>
    <s v="P002"/>
    <s v="Smartphone"/>
    <x v="0"/>
    <n v="2"/>
    <n v="699.99"/>
    <s v="PayPal"/>
    <s v="East"/>
    <x v="1"/>
    <d v="2024-04-07T00:00:00"/>
    <n v="1399.98"/>
    <n v="765"/>
    <n v="673"/>
    <x v="3"/>
    <n v="202407"/>
  </r>
  <r>
    <s v="TRX0114"/>
    <d v="2024-07-08T00:00:00"/>
    <s v="CUST018"/>
    <x v="17"/>
    <s v="P010"/>
    <s v="Keyboard"/>
    <x v="0"/>
    <n v="5"/>
    <n v="89.99"/>
    <s v="Debit Card"/>
    <s v="North"/>
    <x v="1"/>
    <d v="2023-08-23T00:00:00"/>
    <n v="449.95"/>
    <n v="993"/>
    <n v="673"/>
    <x v="3"/>
    <n v="202407"/>
  </r>
  <r>
    <s v="TRX0136"/>
    <d v="2024-07-09T00:00:00"/>
    <s v="CUST049"/>
    <x v="34"/>
    <s v="P005"/>
    <s v="Blender"/>
    <x v="1"/>
    <n v="4"/>
    <n v="59.99"/>
    <s v="Cash"/>
    <s v="South"/>
    <x v="2"/>
    <d v="2021-11-09T00:00:00"/>
    <n v="239.96"/>
    <n v="1645"/>
    <n v="672"/>
    <x v="3"/>
    <n v="202407"/>
  </r>
  <r>
    <s v="TRX0018"/>
    <d v="2024-07-11T00:00:00"/>
    <s v="CUST013"/>
    <x v="1"/>
    <s v="P003"/>
    <s v="Headphones"/>
    <x v="0"/>
    <n v="1"/>
    <n v="149.99"/>
    <s v="Cash"/>
    <s v="Central"/>
    <x v="2"/>
    <d v="2022-12-14T00:00:00"/>
    <n v="149.99"/>
    <n v="1245"/>
    <n v="670"/>
    <x v="3"/>
    <n v="202407"/>
  </r>
  <r>
    <s v="TRX0141"/>
    <d v="2024-07-11T00:00:00"/>
    <s v="CUST033"/>
    <x v="37"/>
    <s v="P007"/>
    <s v="Desk"/>
    <x v="2"/>
    <n v="1"/>
    <n v="299.99"/>
    <s v="Credit Card"/>
    <s v="North"/>
    <x v="1"/>
    <d v="2022-11-26T00:00:00"/>
    <n v="299.99"/>
    <n v="1263"/>
    <n v="670"/>
    <x v="3"/>
    <n v="202407"/>
  </r>
  <r>
    <s v="TRX0097"/>
    <d v="2024-07-14T00:00:00"/>
    <s v="CUST033"/>
    <x v="37"/>
    <s v="P006"/>
    <s v="Office Chair"/>
    <x v="2"/>
    <n v="2"/>
    <n v="199.99"/>
    <s v="Cash"/>
    <s v="North"/>
    <x v="0"/>
    <d v="2021-12-11T00:00:00"/>
    <n v="399.98"/>
    <n v="1613"/>
    <n v="667"/>
    <x v="3"/>
    <n v="202407"/>
  </r>
  <r>
    <s v="TRX0169"/>
    <d v="2024-07-17T00:00:00"/>
    <s v="CUST047"/>
    <x v="38"/>
    <s v="P005"/>
    <s v="Blender"/>
    <x v="1"/>
    <n v="3"/>
    <n v="59.99"/>
    <s v="Credit Card"/>
    <s v="West"/>
    <x v="0"/>
    <d v="2023-07-23T00:00:00"/>
    <n v="179.97"/>
    <n v="1024"/>
    <n v="664"/>
    <x v="3"/>
    <n v="202407"/>
  </r>
  <r>
    <s v="TRX0216"/>
    <d v="2024-07-17T00:00:00"/>
    <s v="CUST041"/>
    <x v="10"/>
    <s v="P008"/>
    <s v="Bookshelf"/>
    <x v="2"/>
    <n v="3"/>
    <n v="149.99"/>
    <s v="Cash"/>
    <s v="Central"/>
    <x v="1"/>
    <d v="2023-09-30T00:00:00"/>
    <n v="449.97"/>
    <n v="955"/>
    <n v="664"/>
    <x v="3"/>
    <n v="202407"/>
  </r>
  <r>
    <s v="TRX0131"/>
    <d v="2024-07-18T00:00:00"/>
    <s v="CUST026"/>
    <x v="8"/>
    <s v="P006"/>
    <s v="Office Chair"/>
    <x v="2"/>
    <n v="3"/>
    <n v="199.99"/>
    <s v="Cash"/>
    <s v="North"/>
    <x v="1"/>
    <d v="2023-11-24T00:00:00"/>
    <n v="599.97"/>
    <n v="900"/>
    <n v="663"/>
    <x v="3"/>
    <n v="202407"/>
  </r>
  <r>
    <s v="TRX0162"/>
    <d v="2024-07-23T00:00:00"/>
    <s v="CUST040"/>
    <x v="30"/>
    <s v="P001"/>
    <s v="Laptop"/>
    <x v="0"/>
    <n v="1"/>
    <n v="899.99"/>
    <s v="Cash"/>
    <s v="Central"/>
    <x v="2"/>
    <d v="2023-09-10T00:00:00"/>
    <n v="899.99"/>
    <n v="975"/>
    <n v="658"/>
    <x v="3"/>
    <n v="202407"/>
  </r>
  <r>
    <s v="TRX0244"/>
    <d v="2024-07-24T00:00:00"/>
    <s v="CUST013"/>
    <x v="1"/>
    <s v="P001"/>
    <s v="Laptop"/>
    <x v="0"/>
    <n v="5"/>
    <n v="899.99"/>
    <s v="Debit Card"/>
    <s v="South"/>
    <x v="2"/>
    <d v="2022-12-04T00:00:00"/>
    <n v="4499.95"/>
    <n v="1255"/>
    <n v="657"/>
    <x v="3"/>
    <n v="202407"/>
  </r>
  <r>
    <s v="TRX0006"/>
    <d v="2024-07-25T00:00:00"/>
    <s v="CUST007"/>
    <x v="35"/>
    <s v="P005"/>
    <s v="Blender"/>
    <x v="1"/>
    <n v="2"/>
    <n v="59.99"/>
    <s v="Cash"/>
    <s v="North"/>
    <x v="2"/>
    <d v="2023-08-14T00:00:00"/>
    <n v="119.98"/>
    <n v="1002"/>
    <n v="656"/>
    <x v="3"/>
    <n v="202407"/>
  </r>
  <r>
    <s v="TRX0215"/>
    <d v="2024-07-25T00:00:00"/>
    <s v="CUST047"/>
    <x v="38"/>
    <s v="P009"/>
    <s v="Monitor"/>
    <x v="0"/>
    <n v="4"/>
    <n v="249.99"/>
    <s v="Debit Card"/>
    <s v="Central"/>
    <x v="2"/>
    <d v="2023-07-20T00:00:00"/>
    <n v="999.96"/>
    <n v="1027"/>
    <n v="656"/>
    <x v="3"/>
    <n v="202407"/>
  </r>
  <r>
    <s v="TRX0080"/>
    <d v="2024-07-27T00:00:00"/>
    <s v="CUST018"/>
    <x v="17"/>
    <s v="P009"/>
    <s v="Monitor"/>
    <x v="0"/>
    <n v="2"/>
    <n v="249.99"/>
    <s v="Cash"/>
    <s v="North"/>
    <x v="1"/>
    <d v="2023-08-26T00:00:00"/>
    <n v="499.98"/>
    <n v="990"/>
    <n v="654"/>
    <x v="3"/>
    <n v="202407"/>
  </r>
  <r>
    <s v="TRX0228"/>
    <d v="2024-07-27T00:00:00"/>
    <s v="CUST019"/>
    <x v="29"/>
    <s v="P007"/>
    <s v="Desk"/>
    <x v="2"/>
    <n v="1"/>
    <n v="299.99"/>
    <s v="Cash"/>
    <s v="South"/>
    <x v="0"/>
    <d v="2023-02-25T00:00:00"/>
    <n v="299.99"/>
    <n v="1172"/>
    <n v="654"/>
    <x v="3"/>
    <n v="202407"/>
  </r>
  <r>
    <s v="TRX0157"/>
    <d v="2024-07-28T00:00:00"/>
    <s v="CUST025"/>
    <x v="14"/>
    <s v="P010"/>
    <s v="Keyboard"/>
    <x v="0"/>
    <n v="2"/>
    <n v="89.99"/>
    <s v="PayPal"/>
    <s v="South"/>
    <x v="0"/>
    <d v="2023-02-19T00:00:00"/>
    <n v="179.98"/>
    <n v="1178"/>
    <n v="653"/>
    <x v="3"/>
    <n v="202407"/>
  </r>
  <r>
    <s v="TRX0002"/>
    <d v="2024-07-28T00:00:00"/>
    <s v="CUST019"/>
    <x v="29"/>
    <s v="P007"/>
    <s v="Desk"/>
    <x v="2"/>
    <n v="3"/>
    <n v="299.99"/>
    <s v="Cash"/>
    <s v="Central"/>
    <x v="0"/>
    <d v="2022-06-20T00:00:00"/>
    <n v="899.97"/>
    <n v="1422"/>
    <n v="653"/>
    <x v="3"/>
    <n v="202407"/>
  </r>
  <r>
    <s v="TRX0217"/>
    <d v="2024-07-30T00:00:00"/>
    <s v="CUST025"/>
    <x v="14"/>
    <s v="P002"/>
    <s v="Smartphone"/>
    <x v="0"/>
    <n v="2"/>
    <n v="699.99"/>
    <s v="Credit Card"/>
    <s v="North"/>
    <x v="1"/>
    <d v="2023-03-14T00:00:00"/>
    <n v="1399.98"/>
    <n v="1155"/>
    <n v="651"/>
    <x v="3"/>
    <n v="202407"/>
  </r>
  <r>
    <s v="TRX0249"/>
    <d v="2024-07-31T00:00:00"/>
    <s v="CUST030"/>
    <x v="22"/>
    <s v="P001"/>
    <s v="Laptop"/>
    <x v="0"/>
    <n v="4"/>
    <n v="899.99"/>
    <s v="Debit Card"/>
    <s v="South"/>
    <x v="2"/>
    <d v="2021-11-23T00:00:00"/>
    <n v="3599.96"/>
    <n v="1631"/>
    <n v="650"/>
    <x v="3"/>
    <n v="202407"/>
  </r>
  <r>
    <s v="TRX0065"/>
    <d v="2024-08-05T00:00:00"/>
    <s v="CUST016"/>
    <x v="39"/>
    <s v="P008"/>
    <s v="Bookshelf"/>
    <x v="2"/>
    <n v="2"/>
    <n v="149.99"/>
    <s v="Credit Card"/>
    <s v="West"/>
    <x v="0"/>
    <d v="2021-12-12T00:00:00"/>
    <n v="299.98"/>
    <n v="1612"/>
    <n v="645"/>
    <x v="4"/>
    <n v="202408"/>
  </r>
  <r>
    <s v="TRX0176"/>
    <d v="2024-08-06T00:00:00"/>
    <s v="CUST044"/>
    <x v="19"/>
    <s v="P008"/>
    <s v="Bookshelf"/>
    <x v="2"/>
    <n v="2"/>
    <n v="149.99"/>
    <s v="Debit Card"/>
    <s v="East"/>
    <x v="2"/>
    <d v="2022-04-16T00:00:00"/>
    <n v="299.98"/>
    <n v="1487"/>
    <n v="644"/>
    <x v="4"/>
    <n v="202408"/>
  </r>
  <r>
    <s v="TRX0101"/>
    <d v="2024-08-09T00:00:00"/>
    <s v="CUST010"/>
    <x v="15"/>
    <s v="P010"/>
    <s v="Keyboard"/>
    <x v="0"/>
    <n v="1"/>
    <n v="89.99"/>
    <s v="Credit Card"/>
    <s v="North"/>
    <x v="2"/>
    <d v="2024-04-11T00:00:00"/>
    <n v="89.99"/>
    <n v="761"/>
    <n v="641"/>
    <x v="4"/>
    <n v="202408"/>
  </r>
  <r>
    <s v="TRX0205"/>
    <d v="2024-08-11T00:00:00"/>
    <s v="CUST025"/>
    <x v="14"/>
    <s v="P007"/>
    <s v="Desk"/>
    <x v="2"/>
    <n v="5"/>
    <n v="299.99"/>
    <s v="Credit Card"/>
    <s v="North"/>
    <x v="0"/>
    <d v="2023-02-08T00:00:00"/>
    <n v="1499.95"/>
    <n v="1189"/>
    <n v="639"/>
    <x v="4"/>
    <n v="202408"/>
  </r>
  <r>
    <s v="TRX0020"/>
    <d v="2024-08-13T00:00:00"/>
    <s v="CUST007"/>
    <x v="35"/>
    <s v="P003"/>
    <s v="Headphones"/>
    <x v="0"/>
    <n v="4"/>
    <n v="149.99"/>
    <s v="Debit Card"/>
    <s v="South"/>
    <x v="1"/>
    <d v="2022-09-16T00:00:00"/>
    <n v="599.96"/>
    <n v="1334"/>
    <n v="637"/>
    <x v="4"/>
    <n v="202408"/>
  </r>
  <r>
    <s v="TRX0075"/>
    <d v="2024-08-13T00:00:00"/>
    <s v="CUST020"/>
    <x v="36"/>
    <s v="P009"/>
    <s v="Monitor"/>
    <x v="0"/>
    <n v="5"/>
    <n v="249.99"/>
    <s v="PayPal"/>
    <s v="East"/>
    <x v="1"/>
    <d v="2022-08-09T00:00:00"/>
    <n v="1249.95"/>
    <n v="1372"/>
    <n v="637"/>
    <x v="4"/>
    <n v="202408"/>
  </r>
  <r>
    <s v="TRX0098"/>
    <d v="2024-08-13T00:00:00"/>
    <s v="CUST026"/>
    <x v="8"/>
    <s v="P009"/>
    <s v="Monitor"/>
    <x v="0"/>
    <n v="3"/>
    <n v="249.99"/>
    <s v="PayPal"/>
    <s v="North"/>
    <x v="1"/>
    <d v="2021-09-26T00:00:00"/>
    <n v="749.97"/>
    <n v="1689"/>
    <n v="637"/>
    <x v="4"/>
    <n v="202408"/>
  </r>
  <r>
    <s v="TRX0247"/>
    <d v="2024-08-13T00:00:00"/>
    <s v="CUST046"/>
    <x v="3"/>
    <s v="P006"/>
    <s v="Office Chair"/>
    <x v="2"/>
    <n v="4"/>
    <n v="199.99"/>
    <s v="Cash"/>
    <s v="North"/>
    <x v="2"/>
    <d v="2021-09-19T00:00:00"/>
    <n v="799.96"/>
    <n v="1696"/>
    <n v="637"/>
    <x v="4"/>
    <n v="202408"/>
  </r>
  <r>
    <s v="TRX0027"/>
    <d v="2024-08-15T00:00:00"/>
    <s v="CUST028"/>
    <x v="32"/>
    <s v="P006"/>
    <s v="Office Chair"/>
    <x v="2"/>
    <n v="5"/>
    <n v="199.99"/>
    <s v="Cash"/>
    <s v="North"/>
    <x v="1"/>
    <d v="2023-03-06T00:00:00"/>
    <n v="999.95"/>
    <n v="1163"/>
    <n v="635"/>
    <x v="4"/>
    <n v="202408"/>
  </r>
  <r>
    <s v="TRX0140"/>
    <d v="2024-08-18T00:00:00"/>
    <s v="CUST025"/>
    <x v="14"/>
    <s v="P010"/>
    <s v="Keyboard"/>
    <x v="0"/>
    <n v="2"/>
    <n v="89.99"/>
    <s v="Cash"/>
    <s v="East"/>
    <x v="1"/>
    <d v="2023-02-15T00:00:00"/>
    <n v="179.98"/>
    <n v="1182"/>
    <n v="632"/>
    <x v="4"/>
    <n v="202408"/>
  </r>
  <r>
    <s v="TRX0132"/>
    <d v="2024-08-19T00:00:00"/>
    <s v="CUST047"/>
    <x v="38"/>
    <s v="P001"/>
    <s v="Laptop"/>
    <x v="0"/>
    <n v="5"/>
    <n v="899.99"/>
    <s v="Debit Card"/>
    <s v="East"/>
    <x v="0"/>
    <d v="2021-11-26T00:00:00"/>
    <n v="4499.95"/>
    <n v="1628"/>
    <n v="631"/>
    <x v="4"/>
    <n v="202408"/>
  </r>
  <r>
    <s v="TRX0031"/>
    <d v="2024-08-19T00:00:00"/>
    <s v="CUST036"/>
    <x v="20"/>
    <s v="P003"/>
    <s v="Headphones"/>
    <x v="0"/>
    <n v="3"/>
    <n v="149.99"/>
    <s v="PayPal"/>
    <s v="East"/>
    <x v="0"/>
    <d v="2022-01-13T00:00:00"/>
    <n v="449.97"/>
    <n v="1580"/>
    <n v="631"/>
    <x v="4"/>
    <n v="202408"/>
  </r>
  <r>
    <s v="TRX0236"/>
    <d v="2024-08-22T00:00:00"/>
    <s v="CUST044"/>
    <x v="19"/>
    <s v="P008"/>
    <s v="Bookshelf"/>
    <x v="2"/>
    <n v="5"/>
    <n v="149.99"/>
    <s v="Credit Card"/>
    <s v="Central"/>
    <x v="0"/>
    <d v="2024-01-19T00:00:00"/>
    <n v="749.95"/>
    <n v="844"/>
    <n v="628"/>
    <x v="4"/>
    <n v="202408"/>
  </r>
  <r>
    <s v="TRX0001"/>
    <d v="2024-08-24T00:00:00"/>
    <s v="CUST039"/>
    <x v="40"/>
    <s v="P004"/>
    <s v="Coffee Maker"/>
    <x v="1"/>
    <n v="3"/>
    <n v="79.989999999999995"/>
    <s v="Cash"/>
    <s v="Central"/>
    <x v="1"/>
    <d v="2022-08-06T00:00:00"/>
    <n v="239.97"/>
    <n v="1375"/>
    <n v="626"/>
    <x v="4"/>
    <n v="202408"/>
  </r>
  <r>
    <s v="TRX0037"/>
    <d v="2024-08-24T00:00:00"/>
    <s v="CUST035"/>
    <x v="28"/>
    <s v="P009"/>
    <s v="Monitor"/>
    <x v="0"/>
    <n v="2"/>
    <n v="249.99"/>
    <s v="Cash"/>
    <s v="South"/>
    <x v="2"/>
    <d v="2022-01-11T00:00:00"/>
    <n v="499.98"/>
    <n v="1582"/>
    <n v="626"/>
    <x v="4"/>
    <n v="202408"/>
  </r>
  <r>
    <s v="TRX0058"/>
    <d v="2024-08-28T00:00:00"/>
    <s v="CUST047"/>
    <x v="38"/>
    <s v="P002"/>
    <s v="Smartphone"/>
    <x v="0"/>
    <n v="1"/>
    <n v="699.99"/>
    <s v="Cash"/>
    <s v="Central"/>
    <x v="1"/>
    <d v="2021-10-28T00:00:00"/>
    <n v="699.99"/>
    <n v="1657"/>
    <n v="622"/>
    <x v="4"/>
    <n v="202408"/>
  </r>
  <r>
    <s v="TRX0170"/>
    <d v="2024-08-28T00:00:00"/>
    <s v="CUST034"/>
    <x v="41"/>
    <s v="P003"/>
    <s v="Headphones"/>
    <x v="0"/>
    <n v="3"/>
    <n v="149.99"/>
    <s v="Cash"/>
    <s v="West"/>
    <x v="1"/>
    <d v="2023-10-13T00:00:00"/>
    <n v="449.97"/>
    <n v="942"/>
    <n v="622"/>
    <x v="4"/>
    <n v="202408"/>
  </r>
  <r>
    <s v="TRX0248"/>
    <d v="2024-08-30T00:00:00"/>
    <s v="CUST032"/>
    <x v="42"/>
    <s v="P002"/>
    <s v="Smartphone"/>
    <x v="0"/>
    <n v="2"/>
    <n v="699.99"/>
    <s v="Credit Card"/>
    <s v="North"/>
    <x v="1"/>
    <d v="2021-08-13T00:00:00"/>
    <n v="1399.98"/>
    <n v="1733"/>
    <n v="620"/>
    <x v="4"/>
    <n v="202408"/>
  </r>
  <r>
    <s v="TRX0099"/>
    <d v="2024-09-02T00:00:00"/>
    <s v="CUST034"/>
    <x v="41"/>
    <s v="P009"/>
    <s v="Monitor"/>
    <x v="0"/>
    <n v="1"/>
    <n v="249.99"/>
    <s v="Credit Card"/>
    <s v="West"/>
    <x v="1"/>
    <d v="2022-05-04T00:00:00"/>
    <n v="249.99"/>
    <n v="1469"/>
    <n v="617"/>
    <x v="5"/>
    <n v="202409"/>
  </r>
  <r>
    <s v="TRX0074"/>
    <d v="2024-09-02T00:00:00"/>
    <s v="CUST023"/>
    <x v="0"/>
    <s v="P009"/>
    <s v="Monitor"/>
    <x v="0"/>
    <n v="1"/>
    <n v="249.99"/>
    <s v="Debit Card"/>
    <s v="North"/>
    <x v="1"/>
    <d v="2024-02-10T00:00:00"/>
    <n v="249.99"/>
    <n v="822"/>
    <n v="617"/>
    <x v="5"/>
    <n v="202409"/>
  </r>
  <r>
    <s v="TRX0225"/>
    <d v="2024-09-03T00:00:00"/>
    <s v="CUST039"/>
    <x v="40"/>
    <s v="P002"/>
    <s v="Smartphone"/>
    <x v="0"/>
    <n v="2"/>
    <n v="699.99"/>
    <s v="Debit Card"/>
    <s v="Central"/>
    <x v="1"/>
    <d v="2022-11-05T00:00:00"/>
    <n v="1399.98"/>
    <n v="1284"/>
    <n v="616"/>
    <x v="5"/>
    <n v="202409"/>
  </r>
  <r>
    <s v="TRX0100"/>
    <d v="2024-09-06T00:00:00"/>
    <s v="CUST031"/>
    <x v="26"/>
    <s v="P005"/>
    <s v="Blender"/>
    <x v="1"/>
    <n v="3"/>
    <n v="59.99"/>
    <s v="Credit Card"/>
    <s v="Central"/>
    <x v="1"/>
    <d v="2022-06-05T00:00:00"/>
    <n v="179.97"/>
    <n v="1437"/>
    <n v="613"/>
    <x v="5"/>
    <n v="202409"/>
  </r>
  <r>
    <s v="TRX0142"/>
    <d v="2024-09-09T00:00:00"/>
    <s v="CUST002"/>
    <x v="25"/>
    <s v="P005"/>
    <s v="Blender"/>
    <x v="1"/>
    <n v="3"/>
    <n v="59.99"/>
    <s v="PayPal"/>
    <s v="East"/>
    <x v="2"/>
    <d v="2022-07-06T00:00:00"/>
    <n v="179.97"/>
    <n v="1406"/>
    <n v="610"/>
    <x v="5"/>
    <n v="202409"/>
  </r>
  <r>
    <s v="TRX0112"/>
    <d v="2024-09-09T00:00:00"/>
    <s v="CUST008"/>
    <x v="27"/>
    <s v="P004"/>
    <s v="Coffee Maker"/>
    <x v="1"/>
    <n v="4"/>
    <n v="79.989999999999995"/>
    <s v="Cash"/>
    <s v="North"/>
    <x v="0"/>
    <d v="2021-11-30T00:00:00"/>
    <n v="319.95999999999998"/>
    <n v="1624"/>
    <n v="610"/>
    <x v="5"/>
    <n v="202409"/>
  </r>
  <r>
    <s v="TRX0161"/>
    <d v="2024-09-10T00:00:00"/>
    <s v="CUST017"/>
    <x v="6"/>
    <s v="P004"/>
    <s v="Coffee Maker"/>
    <x v="1"/>
    <n v="1"/>
    <n v="79.989999999999995"/>
    <s v="Cash"/>
    <s v="West"/>
    <x v="0"/>
    <d v="2022-05-12T00:00:00"/>
    <n v="79.989999999999995"/>
    <n v="1461"/>
    <n v="609"/>
    <x v="5"/>
    <n v="202409"/>
  </r>
  <r>
    <s v="TRX0108"/>
    <d v="2024-09-12T00:00:00"/>
    <s v="CUST024"/>
    <x v="5"/>
    <s v="P007"/>
    <s v="Desk"/>
    <x v="2"/>
    <n v="3"/>
    <n v="299.99"/>
    <s v="Credit Card"/>
    <s v="Central"/>
    <x v="1"/>
    <d v="2021-10-25T00:00:00"/>
    <n v="899.97"/>
    <n v="1660"/>
    <n v="607"/>
    <x v="5"/>
    <n v="202409"/>
  </r>
  <r>
    <s v="TRX0211"/>
    <d v="2024-09-13T00:00:00"/>
    <s v="CUST046"/>
    <x v="3"/>
    <s v="P010"/>
    <s v="Keyboard"/>
    <x v="0"/>
    <n v="2"/>
    <n v="89.99"/>
    <s v="Credit Card"/>
    <s v="South"/>
    <x v="1"/>
    <d v="2022-03-21T00:00:00"/>
    <n v="179.98"/>
    <n v="1513"/>
    <n v="606"/>
    <x v="5"/>
    <n v="202409"/>
  </r>
  <r>
    <s v="TRX0005"/>
    <d v="2024-09-15T00:00:00"/>
    <s v="CUST042"/>
    <x v="43"/>
    <s v="P003"/>
    <s v="Headphones"/>
    <x v="0"/>
    <n v="4"/>
    <n v="149.99"/>
    <s v="Cash"/>
    <s v="North"/>
    <x v="0"/>
    <d v="2022-12-14T00:00:00"/>
    <n v="599.96"/>
    <n v="1245"/>
    <n v="604"/>
    <x v="5"/>
    <n v="202409"/>
  </r>
  <r>
    <s v="TRX0195"/>
    <d v="2024-09-16T00:00:00"/>
    <s v="CUST026"/>
    <x v="8"/>
    <s v="P009"/>
    <s v="Monitor"/>
    <x v="0"/>
    <n v="2"/>
    <n v="249.99"/>
    <s v="PayPal"/>
    <s v="South"/>
    <x v="0"/>
    <d v="2023-03-08T00:00:00"/>
    <n v="499.98"/>
    <n v="1161"/>
    <n v="603"/>
    <x v="5"/>
    <n v="202409"/>
  </r>
  <r>
    <s v="TRX0054"/>
    <d v="2024-09-16T00:00:00"/>
    <s v="CUST004"/>
    <x v="31"/>
    <s v="P006"/>
    <s v="Office Chair"/>
    <x v="2"/>
    <n v="4"/>
    <n v="199.99"/>
    <s v="Debit Card"/>
    <s v="East"/>
    <x v="0"/>
    <d v="2021-09-19T00:00:00"/>
    <n v="799.96"/>
    <n v="1696"/>
    <n v="603"/>
    <x v="5"/>
    <n v="202409"/>
  </r>
  <r>
    <s v="TRX0077"/>
    <d v="2024-09-19T00:00:00"/>
    <s v="CUST019"/>
    <x v="29"/>
    <s v="P010"/>
    <s v="Keyboard"/>
    <x v="0"/>
    <n v="5"/>
    <n v="89.99"/>
    <s v="Credit Card"/>
    <s v="East"/>
    <x v="1"/>
    <d v="2021-09-07T00:00:00"/>
    <n v="449.95"/>
    <n v="1708"/>
    <n v="600"/>
    <x v="5"/>
    <n v="202409"/>
  </r>
  <r>
    <s v="TRX0111"/>
    <d v="2024-09-19T00:00:00"/>
    <s v="CUST011"/>
    <x v="44"/>
    <s v="P003"/>
    <s v="Headphones"/>
    <x v="0"/>
    <n v="1"/>
    <n v="149.99"/>
    <s v="PayPal"/>
    <s v="East"/>
    <x v="2"/>
    <d v="2021-10-13T00:00:00"/>
    <n v="149.99"/>
    <n v="1672"/>
    <n v="600"/>
    <x v="5"/>
    <n v="202409"/>
  </r>
  <r>
    <s v="TRX0123"/>
    <d v="2024-09-19T00:00:00"/>
    <s v="CUST041"/>
    <x v="10"/>
    <s v="P002"/>
    <s v="Smartphone"/>
    <x v="0"/>
    <n v="4"/>
    <n v="699.99"/>
    <s v="PayPal"/>
    <s v="South"/>
    <x v="0"/>
    <d v="2022-02-26T00:00:00"/>
    <n v="2799.96"/>
    <n v="1536"/>
    <n v="600"/>
    <x v="5"/>
    <n v="202409"/>
  </r>
  <r>
    <s v="TRX0177"/>
    <d v="2024-09-24T00:00:00"/>
    <s v="CUST032"/>
    <x v="42"/>
    <s v="P001"/>
    <s v="Laptop"/>
    <x v="0"/>
    <n v="3"/>
    <n v="899.99"/>
    <s v="Credit Card"/>
    <s v="North"/>
    <x v="2"/>
    <d v="2023-08-19T00:00:00"/>
    <n v="2699.97"/>
    <n v="997"/>
    <n v="595"/>
    <x v="5"/>
    <n v="202409"/>
  </r>
  <r>
    <s v="TRX0119"/>
    <d v="2024-09-25T00:00:00"/>
    <s v="CUST014"/>
    <x v="21"/>
    <s v="P008"/>
    <s v="Bookshelf"/>
    <x v="2"/>
    <n v="3"/>
    <n v="149.99"/>
    <s v="PayPal"/>
    <s v="East"/>
    <x v="0"/>
    <d v="2022-11-21T00:00:00"/>
    <n v="449.97"/>
    <n v="1268"/>
    <n v="594"/>
    <x v="5"/>
    <n v="202409"/>
  </r>
  <r>
    <s v="TRX0181"/>
    <d v="2024-09-28T00:00:00"/>
    <s v="CUST012"/>
    <x v="18"/>
    <s v="P007"/>
    <s v="Desk"/>
    <x v="2"/>
    <n v="2"/>
    <n v="299.99"/>
    <s v="Debit Card"/>
    <s v="Central"/>
    <x v="0"/>
    <d v="2022-01-08T00:00:00"/>
    <n v="599.98"/>
    <n v="1585"/>
    <n v="591"/>
    <x v="5"/>
    <n v="202409"/>
  </r>
  <r>
    <s v="TRX0129"/>
    <d v="2024-09-29T00:00:00"/>
    <s v="CUST015"/>
    <x v="45"/>
    <s v="P006"/>
    <s v="Office Chair"/>
    <x v="2"/>
    <n v="1"/>
    <n v="199.99"/>
    <s v="Debit Card"/>
    <s v="East"/>
    <x v="2"/>
    <d v="2023-01-27T00:00:00"/>
    <n v="199.99"/>
    <n v="1201"/>
    <n v="590"/>
    <x v="5"/>
    <n v="202409"/>
  </r>
  <r>
    <s v="TRX0174"/>
    <d v="2024-10-01T00:00:00"/>
    <s v="CUST003"/>
    <x v="4"/>
    <s v="P007"/>
    <s v="Desk"/>
    <x v="2"/>
    <n v="4"/>
    <n v="299.99"/>
    <s v="Cash"/>
    <s v="Central"/>
    <x v="1"/>
    <d v="2021-09-21T00:00:00"/>
    <n v="1199.96"/>
    <n v="1694"/>
    <n v="588"/>
    <x v="6"/>
    <n v="202410"/>
  </r>
  <r>
    <s v="TRX0146"/>
    <d v="2024-10-07T00:00:00"/>
    <s v="CUST010"/>
    <x v="15"/>
    <s v="P005"/>
    <s v="Blender"/>
    <x v="1"/>
    <n v="2"/>
    <n v="59.99"/>
    <s v="Credit Card"/>
    <s v="Central"/>
    <x v="0"/>
    <d v="2022-01-18T00:00:00"/>
    <n v="119.98"/>
    <n v="1575"/>
    <n v="582"/>
    <x v="6"/>
    <n v="202410"/>
  </r>
  <r>
    <s v="TRX0203"/>
    <d v="2024-10-07T00:00:00"/>
    <s v="CUST032"/>
    <x v="42"/>
    <s v="P003"/>
    <s v="Headphones"/>
    <x v="0"/>
    <n v="4"/>
    <n v="149.99"/>
    <s v="Credit Card"/>
    <s v="North"/>
    <x v="1"/>
    <d v="2023-05-30T00:00:00"/>
    <n v="599.96"/>
    <n v="1078"/>
    <n v="582"/>
    <x v="6"/>
    <n v="202410"/>
  </r>
  <r>
    <s v="TRX0055"/>
    <d v="2024-10-08T00:00:00"/>
    <s v="CUST016"/>
    <x v="39"/>
    <s v="P002"/>
    <s v="Smartphone"/>
    <x v="0"/>
    <n v="2"/>
    <n v="699.99"/>
    <s v="Debit Card"/>
    <s v="East"/>
    <x v="1"/>
    <d v="2023-12-14T00:00:00"/>
    <n v="1399.98"/>
    <n v="880"/>
    <n v="581"/>
    <x v="6"/>
    <n v="202410"/>
  </r>
  <r>
    <s v="TRX0218"/>
    <d v="2024-10-08T00:00:00"/>
    <s v="CUST034"/>
    <x v="41"/>
    <s v="P008"/>
    <s v="Bookshelf"/>
    <x v="2"/>
    <n v="3"/>
    <n v="149.99"/>
    <s v="Credit Card"/>
    <s v="South"/>
    <x v="2"/>
    <d v="2023-01-14T00:00:00"/>
    <n v="449.97"/>
    <n v="1214"/>
    <n v="581"/>
    <x v="6"/>
    <n v="202410"/>
  </r>
  <r>
    <s v="TRX0085"/>
    <d v="2024-10-11T00:00:00"/>
    <s v="CUST019"/>
    <x v="29"/>
    <s v="P007"/>
    <s v="Desk"/>
    <x v="2"/>
    <n v="3"/>
    <n v="299.99"/>
    <s v="Credit Card"/>
    <s v="Central"/>
    <x v="2"/>
    <d v="2023-09-05T00:00:00"/>
    <n v="899.97"/>
    <n v="980"/>
    <n v="578"/>
    <x v="6"/>
    <n v="202410"/>
  </r>
  <r>
    <s v="TRX0158"/>
    <d v="2024-10-14T00:00:00"/>
    <s v="CUST027"/>
    <x v="13"/>
    <s v="P001"/>
    <s v="Laptop"/>
    <x v="0"/>
    <n v="3"/>
    <n v="899.99"/>
    <s v="PayPal"/>
    <s v="West"/>
    <x v="0"/>
    <d v="2023-10-16T00:00:00"/>
    <n v="2699.97"/>
    <n v="939"/>
    <n v="575"/>
    <x v="6"/>
    <n v="202410"/>
  </r>
  <r>
    <s v="TRX0173"/>
    <d v="2024-10-16T00:00:00"/>
    <s v="CUST018"/>
    <x v="17"/>
    <s v="P002"/>
    <s v="Smartphone"/>
    <x v="0"/>
    <n v="5"/>
    <n v="699.99"/>
    <s v="Cash"/>
    <s v="East"/>
    <x v="2"/>
    <d v="2023-03-23T00:00:00"/>
    <n v="3499.95"/>
    <n v="1146"/>
    <n v="573"/>
    <x v="6"/>
    <n v="202410"/>
  </r>
  <r>
    <s v="TRX0034"/>
    <d v="2024-10-16T00:00:00"/>
    <s v="CUST049"/>
    <x v="34"/>
    <s v="P002"/>
    <s v="Smartphone"/>
    <x v="0"/>
    <n v="4"/>
    <n v="699.99"/>
    <s v="Credit Card"/>
    <s v="Central"/>
    <x v="0"/>
    <d v="2024-04-03T00:00:00"/>
    <n v="2799.96"/>
    <n v="769"/>
    <n v="573"/>
    <x v="6"/>
    <n v="202410"/>
  </r>
  <r>
    <s v="TRX0189"/>
    <d v="2024-10-16T00:00:00"/>
    <s v="CUST040"/>
    <x v="30"/>
    <s v="P001"/>
    <s v="Laptop"/>
    <x v="0"/>
    <n v="1"/>
    <n v="899.99"/>
    <s v="Credit Card"/>
    <s v="East"/>
    <x v="2"/>
    <d v="2024-03-18T00:00:00"/>
    <n v="899.99"/>
    <n v="785"/>
    <n v="573"/>
    <x v="6"/>
    <n v="202410"/>
  </r>
  <r>
    <s v="TRX0190"/>
    <d v="2024-10-18T00:00:00"/>
    <s v="CUST039"/>
    <x v="40"/>
    <s v="P003"/>
    <s v="Headphones"/>
    <x v="0"/>
    <n v="2"/>
    <n v="149.99"/>
    <s v="Credit Card"/>
    <s v="West"/>
    <x v="0"/>
    <d v="2022-12-21T00:00:00"/>
    <n v="299.98"/>
    <n v="1238"/>
    <n v="571"/>
    <x v="6"/>
    <n v="202410"/>
  </r>
  <r>
    <s v="TRX0079"/>
    <d v="2024-10-21T00:00:00"/>
    <s v="CUST039"/>
    <x v="40"/>
    <s v="P010"/>
    <s v="Keyboard"/>
    <x v="0"/>
    <n v="3"/>
    <n v="89.99"/>
    <s v="PayPal"/>
    <s v="Central"/>
    <x v="0"/>
    <d v="2021-12-21T00:00:00"/>
    <n v="269.97000000000003"/>
    <n v="1603"/>
    <n v="568"/>
    <x v="6"/>
    <n v="202410"/>
  </r>
  <r>
    <s v="TRX0095"/>
    <d v="2024-10-23T00:00:00"/>
    <s v="CUST046"/>
    <x v="3"/>
    <s v="P003"/>
    <s v="Headphones"/>
    <x v="0"/>
    <n v="2"/>
    <n v="149.99"/>
    <s v="PayPal"/>
    <s v="Central"/>
    <x v="0"/>
    <d v="2021-10-04T00:00:00"/>
    <n v="299.98"/>
    <n v="1681"/>
    <n v="566"/>
    <x v="6"/>
    <n v="202410"/>
  </r>
  <r>
    <s v="TRX0009"/>
    <d v="2024-10-23T00:00:00"/>
    <s v="CUST004"/>
    <x v="31"/>
    <s v="P002"/>
    <s v="Smartphone"/>
    <x v="0"/>
    <n v="2"/>
    <n v="699.99"/>
    <s v="Cash"/>
    <s v="Central"/>
    <x v="0"/>
    <d v="2023-03-07T00:00:00"/>
    <n v="1399.98"/>
    <n v="1162"/>
    <n v="566"/>
    <x v="6"/>
    <n v="202410"/>
  </r>
  <r>
    <s v="TRX0167"/>
    <d v="2024-10-24T00:00:00"/>
    <s v="CUST028"/>
    <x v="32"/>
    <s v="P002"/>
    <s v="Smartphone"/>
    <x v="0"/>
    <n v="5"/>
    <n v="699.99"/>
    <s v="Cash"/>
    <s v="North"/>
    <x v="1"/>
    <d v="2022-03-15T00:00:00"/>
    <n v="3499.95"/>
    <n v="1519"/>
    <n v="565"/>
    <x v="6"/>
    <n v="202410"/>
  </r>
  <r>
    <s v="TRX0153"/>
    <d v="2024-10-27T00:00:00"/>
    <s v="CUST049"/>
    <x v="34"/>
    <s v="P010"/>
    <s v="Keyboard"/>
    <x v="0"/>
    <n v="3"/>
    <n v="89.99"/>
    <s v="Credit Card"/>
    <s v="North"/>
    <x v="2"/>
    <d v="2022-02-23T00:00:00"/>
    <n v="269.97000000000003"/>
    <n v="1539"/>
    <n v="562"/>
    <x v="6"/>
    <n v="202410"/>
  </r>
  <r>
    <s v="TRX0057"/>
    <d v="2024-11-01T00:00:00"/>
    <s v="CUST023"/>
    <x v="0"/>
    <s v="P009"/>
    <s v="Monitor"/>
    <x v="0"/>
    <n v="5"/>
    <n v="249.99"/>
    <s v="Credit Card"/>
    <s v="South"/>
    <x v="2"/>
    <d v="2022-11-16T00:00:00"/>
    <n v="1249.95"/>
    <n v="1273"/>
    <n v="557"/>
    <x v="7"/>
    <n v="202411"/>
  </r>
  <r>
    <s v="TRX0017"/>
    <d v="2024-11-04T00:00:00"/>
    <s v="CUST026"/>
    <x v="8"/>
    <s v="P007"/>
    <s v="Desk"/>
    <x v="2"/>
    <n v="3"/>
    <n v="299.99"/>
    <s v="Credit Card"/>
    <s v="South"/>
    <x v="2"/>
    <d v="2021-11-02T00:00:00"/>
    <n v="899.97"/>
    <n v="1652"/>
    <n v="554"/>
    <x v="7"/>
    <n v="202411"/>
  </r>
  <r>
    <s v="TRX0060"/>
    <d v="2024-11-07T00:00:00"/>
    <s v="CUST012"/>
    <x v="18"/>
    <s v="P010"/>
    <s v="Keyboard"/>
    <x v="0"/>
    <n v="3"/>
    <n v="89.99"/>
    <s v="Credit Card"/>
    <s v="North"/>
    <x v="1"/>
    <d v="2021-08-12T00:00:00"/>
    <n v="269.97000000000003"/>
    <n v="1734"/>
    <n v="551"/>
    <x v="7"/>
    <n v="202411"/>
  </r>
  <r>
    <s v="TRX0109"/>
    <d v="2024-11-08T00:00:00"/>
    <s v="CUST010"/>
    <x v="15"/>
    <s v="P008"/>
    <s v="Bookshelf"/>
    <x v="2"/>
    <n v="2"/>
    <n v="149.99"/>
    <s v="Credit Card"/>
    <s v="West"/>
    <x v="1"/>
    <d v="2022-10-14T00:00:00"/>
    <n v="299.98"/>
    <n v="1306"/>
    <n v="550"/>
    <x v="7"/>
    <n v="202411"/>
  </r>
  <r>
    <s v="TRX0090"/>
    <d v="2024-11-09T00:00:00"/>
    <s v="CUST020"/>
    <x v="36"/>
    <s v="P009"/>
    <s v="Monitor"/>
    <x v="0"/>
    <n v="1"/>
    <n v="249.99"/>
    <s v="Credit Card"/>
    <s v="North"/>
    <x v="1"/>
    <d v="2022-09-24T00:00:00"/>
    <n v="249.99"/>
    <n v="1326"/>
    <n v="549"/>
    <x v="7"/>
    <n v="202411"/>
  </r>
  <r>
    <s v="TRX0035"/>
    <d v="2024-11-11T00:00:00"/>
    <s v="CUST041"/>
    <x v="10"/>
    <s v="P003"/>
    <s v="Headphones"/>
    <x v="0"/>
    <n v="3"/>
    <n v="149.99"/>
    <s v="Cash"/>
    <s v="North"/>
    <x v="0"/>
    <d v="2022-07-27T00:00:00"/>
    <n v="449.97"/>
    <n v="1385"/>
    <n v="547"/>
    <x v="7"/>
    <n v="202411"/>
  </r>
  <r>
    <s v="TRX0172"/>
    <d v="2024-11-11T00:00:00"/>
    <s v="CUST023"/>
    <x v="0"/>
    <s v="P005"/>
    <s v="Blender"/>
    <x v="1"/>
    <n v="5"/>
    <n v="59.99"/>
    <s v="PayPal"/>
    <s v="West"/>
    <x v="1"/>
    <d v="2022-05-13T00:00:00"/>
    <n v="299.95"/>
    <n v="1460"/>
    <n v="547"/>
    <x v="7"/>
    <n v="202411"/>
  </r>
  <r>
    <s v="TRX0076"/>
    <d v="2024-11-11T00:00:00"/>
    <s v="CUST012"/>
    <x v="18"/>
    <s v="P009"/>
    <s v="Monitor"/>
    <x v="0"/>
    <n v="4"/>
    <n v="249.99"/>
    <s v="Credit Card"/>
    <s v="West"/>
    <x v="2"/>
    <d v="2022-04-08T00:00:00"/>
    <n v="999.96"/>
    <n v="1495"/>
    <n v="547"/>
    <x v="7"/>
    <n v="202411"/>
  </r>
  <r>
    <s v="TRX0210"/>
    <d v="2024-11-12T00:00:00"/>
    <s v="CUST004"/>
    <x v="31"/>
    <s v="P008"/>
    <s v="Bookshelf"/>
    <x v="2"/>
    <n v="5"/>
    <n v="149.99"/>
    <s v="PayPal"/>
    <s v="Central"/>
    <x v="0"/>
    <d v="2022-12-06T00:00:00"/>
    <n v="749.95"/>
    <n v="1253"/>
    <n v="546"/>
    <x v="7"/>
    <n v="202411"/>
  </r>
  <r>
    <s v="TRX0149"/>
    <d v="2024-11-12T00:00:00"/>
    <s v="CUST027"/>
    <x v="13"/>
    <s v="P005"/>
    <s v="Blender"/>
    <x v="1"/>
    <n v="3"/>
    <n v="59.99"/>
    <s v="Debit Card"/>
    <s v="South"/>
    <x v="2"/>
    <d v="2023-11-30T00:00:00"/>
    <n v="179.97"/>
    <n v="894"/>
    <n v="546"/>
    <x v="7"/>
    <n v="202411"/>
  </r>
  <r>
    <s v="TRX0073"/>
    <d v="2024-11-17T00:00:00"/>
    <s v="CUST032"/>
    <x v="42"/>
    <s v="P008"/>
    <s v="Bookshelf"/>
    <x v="2"/>
    <n v="5"/>
    <n v="149.99"/>
    <s v="Cash"/>
    <s v="North"/>
    <x v="0"/>
    <d v="2022-11-04T00:00:00"/>
    <n v="749.95"/>
    <n v="1285"/>
    <n v="541"/>
    <x v="7"/>
    <n v="202411"/>
  </r>
  <r>
    <s v="TRX0033"/>
    <d v="2024-11-17T00:00:00"/>
    <s v="CUST025"/>
    <x v="14"/>
    <s v="P002"/>
    <s v="Smartphone"/>
    <x v="0"/>
    <n v="2"/>
    <n v="699.99"/>
    <s v="PayPal"/>
    <s v="West"/>
    <x v="2"/>
    <d v="2022-07-28T00:00:00"/>
    <n v="1399.98"/>
    <n v="1384"/>
    <n v="541"/>
    <x v="7"/>
    <n v="202411"/>
  </r>
  <r>
    <s v="TRX0160"/>
    <d v="2024-11-21T00:00:00"/>
    <s v="CUST029"/>
    <x v="23"/>
    <s v="P006"/>
    <s v="Office Chair"/>
    <x v="2"/>
    <n v="4"/>
    <n v="199.99"/>
    <s v="Debit Card"/>
    <s v="Central"/>
    <x v="1"/>
    <d v="2021-08-19T00:00:00"/>
    <n v="799.96"/>
    <n v="1727"/>
    <n v="537"/>
    <x v="7"/>
    <n v="202411"/>
  </r>
  <r>
    <s v="TRX0145"/>
    <d v="2024-11-23T00:00:00"/>
    <s v="CUST033"/>
    <x v="37"/>
    <s v="P005"/>
    <s v="Blender"/>
    <x v="1"/>
    <n v="1"/>
    <n v="59.99"/>
    <s v="Debit Card"/>
    <s v="West"/>
    <x v="2"/>
    <d v="2021-12-30T00:00:00"/>
    <n v="59.99"/>
    <n v="1594"/>
    <n v="535"/>
    <x v="7"/>
    <n v="202411"/>
  </r>
  <r>
    <s v="TRX0148"/>
    <d v="2024-11-23T00:00:00"/>
    <s v="CUST004"/>
    <x v="31"/>
    <s v="P002"/>
    <s v="Smartphone"/>
    <x v="0"/>
    <n v="3"/>
    <n v="699.99"/>
    <s v="PayPal"/>
    <s v="West"/>
    <x v="2"/>
    <d v="2022-01-22T00:00:00"/>
    <n v="2099.9699999999998"/>
    <n v="1571"/>
    <n v="535"/>
    <x v="7"/>
    <n v="202411"/>
  </r>
  <r>
    <s v="TRX0012"/>
    <d v="2024-11-26T00:00:00"/>
    <s v="CUST045"/>
    <x v="46"/>
    <s v="P009"/>
    <s v="Monitor"/>
    <x v="0"/>
    <n v="5"/>
    <n v="249.99"/>
    <s v="Credit Card"/>
    <s v="North"/>
    <x v="0"/>
    <d v="2022-11-08T00:00:00"/>
    <n v="1249.95"/>
    <n v="1281"/>
    <n v="532"/>
    <x v="7"/>
    <n v="202411"/>
  </r>
  <r>
    <s v="TRX0206"/>
    <d v="2024-11-27T00:00:00"/>
    <s v="CUST014"/>
    <x v="21"/>
    <s v="P008"/>
    <s v="Bookshelf"/>
    <x v="2"/>
    <n v="2"/>
    <n v="149.99"/>
    <s v="Cash"/>
    <s v="South"/>
    <x v="2"/>
    <d v="2023-06-24T00:00:00"/>
    <n v="299.98"/>
    <n v="1053"/>
    <n v="531"/>
    <x v="7"/>
    <n v="202411"/>
  </r>
  <r>
    <s v="TRX0045"/>
    <d v="2024-12-01T00:00:00"/>
    <s v="CUST021"/>
    <x v="2"/>
    <s v="P007"/>
    <s v="Desk"/>
    <x v="2"/>
    <n v="3"/>
    <n v="299.99"/>
    <s v="Cash"/>
    <s v="South"/>
    <x v="1"/>
    <d v="2022-04-08T00:00:00"/>
    <n v="899.97"/>
    <n v="1495"/>
    <n v="527"/>
    <x v="8"/>
    <n v="202412"/>
  </r>
  <r>
    <s v="TRX0094"/>
    <d v="2024-12-01T00:00:00"/>
    <s v="CUST017"/>
    <x v="6"/>
    <s v="P009"/>
    <s v="Monitor"/>
    <x v="0"/>
    <n v="5"/>
    <n v="249.99"/>
    <s v="Cash"/>
    <s v="Central"/>
    <x v="1"/>
    <d v="2021-10-16T00:00:00"/>
    <n v="1249.95"/>
    <n v="1669"/>
    <n v="527"/>
    <x v="8"/>
    <n v="202412"/>
  </r>
  <r>
    <s v="TRX0133"/>
    <d v="2024-12-01T00:00:00"/>
    <s v="CUST013"/>
    <x v="1"/>
    <s v="P003"/>
    <s v="Headphones"/>
    <x v="0"/>
    <n v="2"/>
    <n v="149.99"/>
    <s v="Cash"/>
    <s v="South"/>
    <x v="1"/>
    <d v="2021-10-06T00:00:00"/>
    <n v="299.98"/>
    <n v="1679"/>
    <n v="527"/>
    <x v="8"/>
    <n v="202412"/>
  </r>
  <r>
    <s v="TRX0201"/>
    <d v="2024-12-01T00:00:00"/>
    <s v="CUST025"/>
    <x v="14"/>
    <s v="P002"/>
    <s v="Smartphone"/>
    <x v="0"/>
    <n v="5"/>
    <n v="699.99"/>
    <s v="Debit Card"/>
    <s v="West"/>
    <x v="2"/>
    <d v="2023-01-18T00:00:00"/>
    <n v="3499.95"/>
    <n v="1210"/>
    <n v="527"/>
    <x v="8"/>
    <n v="202412"/>
  </r>
  <r>
    <s v="TRX0137"/>
    <d v="2024-12-03T00:00:00"/>
    <s v="CUST011"/>
    <x v="44"/>
    <s v="P009"/>
    <s v="Monitor"/>
    <x v="0"/>
    <n v="4"/>
    <n v="249.99"/>
    <s v="PayPal"/>
    <s v="East"/>
    <x v="1"/>
    <d v="2023-06-21T00:00:00"/>
    <n v="999.96"/>
    <n v="1056"/>
    <n v="525"/>
    <x v="8"/>
    <n v="202412"/>
  </r>
  <r>
    <s v="TRX0066"/>
    <d v="2024-12-04T00:00:00"/>
    <s v="CUST024"/>
    <x v="5"/>
    <s v="P002"/>
    <s v="Smartphone"/>
    <x v="0"/>
    <n v="4"/>
    <n v="699.99"/>
    <s v="Credit Card"/>
    <s v="North"/>
    <x v="1"/>
    <d v="2022-05-22T00:00:00"/>
    <n v="2799.96"/>
    <n v="1451"/>
    <n v="524"/>
    <x v="8"/>
    <n v="202412"/>
  </r>
  <r>
    <s v="TRX0180"/>
    <d v="2024-12-09T00:00:00"/>
    <s v="CUST036"/>
    <x v="20"/>
    <s v="P009"/>
    <s v="Monitor"/>
    <x v="0"/>
    <n v="2"/>
    <n v="249.99"/>
    <s v="Credit Card"/>
    <s v="Central"/>
    <x v="1"/>
    <d v="2021-07-19T00:00:00"/>
    <n v="499.98"/>
    <n v="1758"/>
    <n v="519"/>
    <x v="8"/>
    <n v="202412"/>
  </r>
  <r>
    <s v="TRX0082"/>
    <d v="2024-12-09T00:00:00"/>
    <s v="CUST005"/>
    <x v="47"/>
    <s v="P005"/>
    <s v="Blender"/>
    <x v="1"/>
    <n v="3"/>
    <n v="59.99"/>
    <s v="Cash"/>
    <s v="Central"/>
    <x v="1"/>
    <d v="2023-05-06T00:00:00"/>
    <n v="179.97"/>
    <n v="1102"/>
    <n v="519"/>
    <x v="8"/>
    <n v="202412"/>
  </r>
  <r>
    <s v="TRX0036"/>
    <d v="2024-12-09T00:00:00"/>
    <s v="CUST008"/>
    <x v="27"/>
    <s v="P004"/>
    <s v="Coffee Maker"/>
    <x v="1"/>
    <n v="4"/>
    <n v="79.989999999999995"/>
    <s v="Debit Card"/>
    <s v="East"/>
    <x v="2"/>
    <d v="2022-12-26T00:00:00"/>
    <n v="319.95999999999998"/>
    <n v="1233"/>
    <n v="519"/>
    <x v="8"/>
    <n v="202412"/>
  </r>
  <r>
    <s v="TRX0198"/>
    <d v="2024-12-10T00:00:00"/>
    <s v="CUST030"/>
    <x v="22"/>
    <s v="P004"/>
    <s v="Coffee Maker"/>
    <x v="1"/>
    <n v="3"/>
    <n v="79.989999999999995"/>
    <s v="Debit Card"/>
    <s v="East"/>
    <x v="2"/>
    <d v="2022-08-06T00:00:00"/>
    <n v="239.97"/>
    <n v="1375"/>
    <n v="518"/>
    <x v="8"/>
    <n v="202412"/>
  </r>
  <r>
    <s v="TRX0032"/>
    <d v="2024-12-12T00:00:00"/>
    <s v="CUST041"/>
    <x v="10"/>
    <s v="P001"/>
    <s v="Laptop"/>
    <x v="0"/>
    <n v="2"/>
    <n v="899.99"/>
    <s v="Cash"/>
    <s v="North"/>
    <x v="0"/>
    <d v="2021-07-29T00:00:00"/>
    <n v="1799.98"/>
    <n v="1748"/>
    <n v="516"/>
    <x v="8"/>
    <n v="202412"/>
  </r>
  <r>
    <s v="TRX0081"/>
    <d v="2024-12-15T00:00:00"/>
    <s v="CUST007"/>
    <x v="35"/>
    <s v="P008"/>
    <s v="Bookshelf"/>
    <x v="2"/>
    <n v="1"/>
    <n v="149.99"/>
    <s v="Debit Card"/>
    <s v="East"/>
    <x v="2"/>
    <d v="2023-10-01T00:00:00"/>
    <n v="149.99"/>
    <n v="954"/>
    <n v="513"/>
    <x v="8"/>
    <n v="202412"/>
  </r>
  <r>
    <s v="TRX0224"/>
    <d v="2024-12-15T00:00:00"/>
    <s v="CUST031"/>
    <x v="26"/>
    <s v="P007"/>
    <s v="Desk"/>
    <x v="2"/>
    <n v="2"/>
    <n v="299.99"/>
    <s v="Cash"/>
    <s v="East"/>
    <x v="1"/>
    <d v="2022-06-12T00:00:00"/>
    <n v="599.98"/>
    <n v="1430"/>
    <n v="513"/>
    <x v="8"/>
    <n v="202412"/>
  </r>
  <r>
    <s v="TRX0028"/>
    <d v="2024-12-18T00:00:00"/>
    <s v="CUST002"/>
    <x v="25"/>
    <s v="P005"/>
    <s v="Blender"/>
    <x v="1"/>
    <n v="2"/>
    <n v="59.99"/>
    <s v="Cash"/>
    <s v="West"/>
    <x v="0"/>
    <d v="2023-09-22T00:00:00"/>
    <n v="119.98"/>
    <n v="963"/>
    <n v="510"/>
    <x v="8"/>
    <n v="202412"/>
  </r>
  <r>
    <s v="TRX0183"/>
    <d v="2024-12-19T00:00:00"/>
    <s v="CUST007"/>
    <x v="35"/>
    <s v="P010"/>
    <s v="Keyboard"/>
    <x v="0"/>
    <n v="1"/>
    <n v="89.99"/>
    <s v="Debit Card"/>
    <s v="Central"/>
    <x v="2"/>
    <d v="2022-07-18T00:00:00"/>
    <n v="89.99"/>
    <n v="1394"/>
    <n v="509"/>
    <x v="8"/>
    <n v="202412"/>
  </r>
  <r>
    <s v="TRX0163"/>
    <d v="2024-12-19T00:00:00"/>
    <s v="CUST019"/>
    <x v="29"/>
    <s v="P001"/>
    <s v="Laptop"/>
    <x v="0"/>
    <n v="5"/>
    <n v="899.99"/>
    <s v="Debit Card"/>
    <s v="East"/>
    <x v="2"/>
    <d v="2022-03-05T00:00:00"/>
    <n v="4499.95"/>
    <n v="1529"/>
    <n v="509"/>
    <x v="8"/>
    <n v="202412"/>
  </r>
  <r>
    <s v="TRX0046"/>
    <d v="2024-12-20T00:00:00"/>
    <s v="CUST003"/>
    <x v="4"/>
    <s v="P008"/>
    <s v="Bookshelf"/>
    <x v="2"/>
    <n v="2"/>
    <n v="149.99"/>
    <s v="Cash"/>
    <s v="South"/>
    <x v="0"/>
    <d v="2023-11-09T00:00:00"/>
    <n v="299.98"/>
    <n v="915"/>
    <n v="508"/>
    <x v="8"/>
    <n v="202412"/>
  </r>
  <r>
    <s v="TRX0164"/>
    <d v="2024-12-22T00:00:00"/>
    <s v="CUST014"/>
    <x v="21"/>
    <s v="P003"/>
    <s v="Headphones"/>
    <x v="0"/>
    <n v="2"/>
    <n v="149.99"/>
    <s v="Debit Card"/>
    <s v="West"/>
    <x v="1"/>
    <d v="2023-12-20T00:00:00"/>
    <n v="299.98"/>
    <n v="874"/>
    <n v="506"/>
    <x v="8"/>
    <n v="202412"/>
  </r>
  <r>
    <s v="TRX0008"/>
    <d v="2024-12-22T00:00:00"/>
    <s v="CUST007"/>
    <x v="35"/>
    <s v="P008"/>
    <s v="Bookshelf"/>
    <x v="2"/>
    <n v="3"/>
    <n v="149.99"/>
    <s v="Debit Card"/>
    <s v="North"/>
    <x v="2"/>
    <d v="2021-11-22T00:00:00"/>
    <n v="449.97"/>
    <n v="1632"/>
    <n v="506"/>
    <x v="8"/>
    <n v="202412"/>
  </r>
  <r>
    <s v="TRX0171"/>
    <d v="2024-12-23T00:00:00"/>
    <s v="CUST021"/>
    <x v="2"/>
    <s v="P007"/>
    <s v="Desk"/>
    <x v="2"/>
    <n v="2"/>
    <n v="299.99"/>
    <s v="PayPal"/>
    <s v="South"/>
    <x v="0"/>
    <d v="2022-06-09T00:00:00"/>
    <n v="599.98"/>
    <n v="1433"/>
    <n v="505"/>
    <x v="8"/>
    <n v="202412"/>
  </r>
  <r>
    <s v="TRX0143"/>
    <d v="2024-12-28T00:00:00"/>
    <s v="CUST003"/>
    <x v="4"/>
    <s v="P007"/>
    <s v="Desk"/>
    <x v="2"/>
    <n v="2"/>
    <n v="299.99"/>
    <s v="Cash"/>
    <s v="West"/>
    <x v="0"/>
    <d v="2022-07-29T00:00:00"/>
    <n v="599.98"/>
    <n v="1383"/>
    <n v="500"/>
    <x v="8"/>
    <n v="202412"/>
  </r>
  <r>
    <s v="TRX0165"/>
    <d v="2024-12-28T00:00:00"/>
    <s v="CUST030"/>
    <x v="22"/>
    <s v="P006"/>
    <s v="Office Chair"/>
    <x v="2"/>
    <n v="4"/>
    <n v="199.99"/>
    <s v="Credit Card"/>
    <s v="Central"/>
    <x v="0"/>
    <d v="2021-11-23T00:00:00"/>
    <n v="799.96"/>
    <n v="1631"/>
    <n v="500"/>
    <x v="8"/>
    <n v="202412"/>
  </r>
  <r>
    <s v="TRX0156"/>
    <d v="2024-12-29T00:00:00"/>
    <s v="CUST009"/>
    <x v="7"/>
    <s v="P010"/>
    <s v="Keyboard"/>
    <x v="0"/>
    <n v="1"/>
    <n v="89.99"/>
    <s v="Credit Card"/>
    <s v="South"/>
    <x v="1"/>
    <d v="2022-01-30T00:00:00"/>
    <n v="89.99"/>
    <n v="1563"/>
    <n v="499"/>
    <x v="8"/>
    <n v="202412"/>
  </r>
  <r>
    <s v="TRX0147"/>
    <d v="2024-12-29T00:00:00"/>
    <s v="CUST036"/>
    <x v="20"/>
    <s v="P008"/>
    <s v="Bookshelf"/>
    <x v="2"/>
    <n v="5"/>
    <n v="149.99"/>
    <s v="Cash"/>
    <s v="Central"/>
    <x v="1"/>
    <d v="2024-02-25T00:00:00"/>
    <n v="749.95"/>
    <n v="807"/>
    <n v="499"/>
    <x v="8"/>
    <n v="202412"/>
  </r>
  <r>
    <s v="TRX0207"/>
    <d v="2024-12-31T00:00:00"/>
    <s v="CUST025"/>
    <x v="14"/>
    <s v="P001"/>
    <s v="Laptop"/>
    <x v="0"/>
    <n v="1"/>
    <n v="899.99"/>
    <s v="PayPal"/>
    <s v="North"/>
    <x v="1"/>
    <d v="2023-05-04T00:00:00"/>
    <n v="899.99"/>
    <n v="1104"/>
    <n v="497"/>
    <x v="8"/>
    <n v="202412"/>
  </r>
  <r>
    <s v="TRX0056"/>
    <d v="2025-01-03T00:00:00"/>
    <s v="CUST019"/>
    <x v="29"/>
    <s v="P010"/>
    <s v="Keyboard"/>
    <x v="0"/>
    <n v="2"/>
    <n v="89.99"/>
    <s v="Credit Card"/>
    <s v="South"/>
    <x v="1"/>
    <d v="2022-01-03T00:00:00"/>
    <n v="179.98"/>
    <n v="1590"/>
    <n v="494"/>
    <x v="9"/>
    <n v="202501"/>
  </r>
  <r>
    <s v="TRX0026"/>
    <d v="2025-01-04T00:00:00"/>
    <s v="CUST037"/>
    <x v="48"/>
    <s v="P001"/>
    <s v="Laptop"/>
    <x v="0"/>
    <n v="1"/>
    <n v="899.99"/>
    <s v="PayPal"/>
    <s v="North"/>
    <x v="2"/>
    <d v="2022-07-10T00:00:00"/>
    <n v="899.99"/>
    <n v="1402"/>
    <n v="493"/>
    <x v="9"/>
    <n v="202501"/>
  </r>
  <r>
    <s v="TRX0237"/>
    <d v="2025-01-06T00:00:00"/>
    <s v="CUST006"/>
    <x v="24"/>
    <s v="P003"/>
    <s v="Headphones"/>
    <x v="0"/>
    <n v="5"/>
    <n v="149.99"/>
    <s v="PayPal"/>
    <s v="East"/>
    <x v="1"/>
    <d v="2022-09-20T00:00:00"/>
    <n v="749.95"/>
    <n v="1330"/>
    <n v="491"/>
    <x v="9"/>
    <n v="202501"/>
  </r>
  <r>
    <s v="TRX0091"/>
    <d v="2025-01-06T00:00:00"/>
    <s v="CUST003"/>
    <x v="4"/>
    <s v="P007"/>
    <s v="Desk"/>
    <x v="2"/>
    <n v="3"/>
    <n v="299.99"/>
    <s v="Cash"/>
    <s v="South"/>
    <x v="2"/>
    <d v="2021-08-14T00:00:00"/>
    <n v="899.97"/>
    <n v="1732"/>
    <n v="491"/>
    <x v="9"/>
    <n v="202501"/>
  </r>
  <r>
    <s v="TRX0125"/>
    <d v="2025-01-09T00:00:00"/>
    <s v="CUST026"/>
    <x v="8"/>
    <s v="P002"/>
    <s v="Smartphone"/>
    <x v="0"/>
    <n v="3"/>
    <n v="699.99"/>
    <s v="Credit Card"/>
    <s v="Central"/>
    <x v="1"/>
    <d v="2023-06-28T00:00:00"/>
    <n v="2099.9699999999998"/>
    <n v="1049"/>
    <n v="488"/>
    <x v="9"/>
    <n v="202501"/>
  </r>
  <r>
    <s v="TRX0223"/>
    <d v="2025-01-10T00:00:00"/>
    <s v="CUST036"/>
    <x v="20"/>
    <s v="P006"/>
    <s v="Office Chair"/>
    <x v="2"/>
    <n v="5"/>
    <n v="199.99"/>
    <s v="PayPal"/>
    <s v="Central"/>
    <x v="2"/>
    <d v="2022-03-13T00:00:00"/>
    <n v="999.95"/>
    <n v="1521"/>
    <n v="487"/>
    <x v="9"/>
    <n v="202501"/>
  </r>
  <r>
    <s v="TRX0243"/>
    <d v="2025-01-10T00:00:00"/>
    <s v="CUST048"/>
    <x v="16"/>
    <s v="P009"/>
    <s v="Monitor"/>
    <x v="0"/>
    <n v="5"/>
    <n v="249.99"/>
    <s v="Credit Card"/>
    <s v="South"/>
    <x v="0"/>
    <d v="2024-02-08T00:00:00"/>
    <n v="1249.95"/>
    <n v="824"/>
    <n v="487"/>
    <x v="9"/>
    <n v="202501"/>
  </r>
  <r>
    <s v="TRX0084"/>
    <d v="2025-01-11T00:00:00"/>
    <s v="CUST031"/>
    <x v="26"/>
    <s v="P003"/>
    <s v="Headphones"/>
    <x v="0"/>
    <n v="4"/>
    <n v="149.99"/>
    <s v="Debit Card"/>
    <s v="East"/>
    <x v="2"/>
    <d v="2021-12-06T00:00:00"/>
    <n v="599.96"/>
    <n v="1618"/>
    <n v="486"/>
    <x v="9"/>
    <n v="202501"/>
  </r>
  <r>
    <s v="TRX0238"/>
    <d v="2025-01-11T00:00:00"/>
    <s v="CUST038"/>
    <x v="12"/>
    <s v="P002"/>
    <s v="Smartphone"/>
    <x v="0"/>
    <n v="3"/>
    <n v="699.99"/>
    <s v="Cash"/>
    <s v="North"/>
    <x v="1"/>
    <d v="2022-02-10T00:00:00"/>
    <n v="2099.9699999999998"/>
    <n v="1552"/>
    <n v="486"/>
    <x v="9"/>
    <n v="202501"/>
  </r>
  <r>
    <s v="TRX0102"/>
    <d v="2025-01-13T00:00:00"/>
    <s v="CUST045"/>
    <x v="46"/>
    <s v="P004"/>
    <s v="Coffee Maker"/>
    <x v="1"/>
    <n v="1"/>
    <n v="79.989999999999995"/>
    <s v="Credit Card"/>
    <s v="South"/>
    <x v="0"/>
    <d v="2024-01-31T00:00:00"/>
    <n v="79.989999999999995"/>
    <n v="832"/>
    <n v="484"/>
    <x v="9"/>
    <n v="202501"/>
  </r>
  <r>
    <s v="TRX0022"/>
    <d v="2025-01-13T00:00:00"/>
    <s v="CUST025"/>
    <x v="14"/>
    <s v="P007"/>
    <s v="Desk"/>
    <x v="2"/>
    <n v="1"/>
    <n v="299.99"/>
    <s v="Credit Card"/>
    <s v="North"/>
    <x v="0"/>
    <d v="2021-08-28T00:00:00"/>
    <n v="299.99"/>
    <n v="1718"/>
    <n v="484"/>
    <x v="9"/>
    <n v="202501"/>
  </r>
  <r>
    <s v="TRX0087"/>
    <d v="2025-01-14T00:00:00"/>
    <s v="CUST028"/>
    <x v="32"/>
    <s v="P009"/>
    <s v="Monitor"/>
    <x v="0"/>
    <n v="4"/>
    <n v="249.99"/>
    <s v="Credit Card"/>
    <s v="North"/>
    <x v="1"/>
    <d v="2021-09-21T00:00:00"/>
    <n v="999.96"/>
    <n v="1694"/>
    <n v="483"/>
    <x v="9"/>
    <n v="202501"/>
  </r>
  <r>
    <s v="TRX0107"/>
    <d v="2025-01-14T00:00:00"/>
    <s v="CUST030"/>
    <x v="22"/>
    <s v="P003"/>
    <s v="Headphones"/>
    <x v="0"/>
    <n v="2"/>
    <n v="149.99"/>
    <s v="Cash"/>
    <s v="North"/>
    <x v="2"/>
    <d v="2022-12-18T00:00:00"/>
    <n v="299.98"/>
    <n v="1241"/>
    <n v="483"/>
    <x v="9"/>
    <n v="202501"/>
  </r>
  <r>
    <s v="TRX0051"/>
    <d v="2025-01-14T00:00:00"/>
    <s v="CUST032"/>
    <x v="42"/>
    <s v="P007"/>
    <s v="Desk"/>
    <x v="2"/>
    <n v="3"/>
    <n v="299.99"/>
    <s v="Credit Card"/>
    <s v="South"/>
    <x v="0"/>
    <d v="2023-10-05T00:00:00"/>
    <n v="899.97"/>
    <n v="950"/>
    <n v="483"/>
    <x v="9"/>
    <n v="202501"/>
  </r>
  <r>
    <s v="TRX0106"/>
    <d v="2025-01-16T00:00:00"/>
    <s v="CUST039"/>
    <x v="40"/>
    <s v="P006"/>
    <s v="Office Chair"/>
    <x v="2"/>
    <n v="4"/>
    <n v="199.99"/>
    <s v="Debit Card"/>
    <s v="South"/>
    <x v="2"/>
    <d v="2021-12-14T00:00:00"/>
    <n v="799.96"/>
    <n v="1610"/>
    <n v="481"/>
    <x v="9"/>
    <n v="202501"/>
  </r>
  <r>
    <s v="TRX0059"/>
    <d v="2025-01-16T00:00:00"/>
    <s v="CUST016"/>
    <x v="39"/>
    <s v="P007"/>
    <s v="Desk"/>
    <x v="2"/>
    <n v="5"/>
    <n v="299.99"/>
    <s v="Debit Card"/>
    <s v="Central"/>
    <x v="0"/>
    <d v="2021-08-23T00:00:00"/>
    <n v="1499.95"/>
    <n v="1723"/>
    <n v="481"/>
    <x v="9"/>
    <n v="202501"/>
  </r>
  <r>
    <s v="TRX0072"/>
    <d v="2025-01-16T00:00:00"/>
    <s v="CUST009"/>
    <x v="7"/>
    <s v="P008"/>
    <s v="Bookshelf"/>
    <x v="2"/>
    <n v="3"/>
    <n v="149.99"/>
    <s v="Credit Card"/>
    <s v="East"/>
    <x v="2"/>
    <d v="2021-07-18T00:00:00"/>
    <n v="449.97"/>
    <n v="1759"/>
    <n v="481"/>
    <x v="9"/>
    <n v="202501"/>
  </r>
  <r>
    <s v="TRX0110"/>
    <d v="2025-01-19T00:00:00"/>
    <s v="CUST006"/>
    <x v="24"/>
    <s v="P005"/>
    <s v="Blender"/>
    <x v="1"/>
    <n v="5"/>
    <n v="59.99"/>
    <s v="Debit Card"/>
    <s v="East"/>
    <x v="0"/>
    <d v="2022-03-22T00:00:00"/>
    <n v="299.95"/>
    <n v="1512"/>
    <n v="478"/>
    <x v="9"/>
    <n v="202501"/>
  </r>
  <r>
    <s v="TRX0126"/>
    <d v="2025-01-25T00:00:00"/>
    <s v="CUST022"/>
    <x v="9"/>
    <s v="P005"/>
    <s v="Blender"/>
    <x v="1"/>
    <n v="4"/>
    <n v="59.99"/>
    <s v="Debit Card"/>
    <s v="East"/>
    <x v="2"/>
    <d v="2022-01-03T00:00:00"/>
    <n v="239.96"/>
    <n v="1590"/>
    <n v="472"/>
    <x v="9"/>
    <n v="202501"/>
  </r>
  <r>
    <s v="TRX0159"/>
    <d v="2025-01-26T00:00:00"/>
    <s v="CUST024"/>
    <x v="5"/>
    <s v="P009"/>
    <s v="Monitor"/>
    <x v="0"/>
    <n v="4"/>
    <n v="249.99"/>
    <s v="Debit Card"/>
    <s v="Central"/>
    <x v="1"/>
    <d v="2023-10-18T00:00:00"/>
    <n v="999.96"/>
    <n v="937"/>
    <n v="471"/>
    <x v="9"/>
    <n v="202501"/>
  </r>
  <r>
    <s v="TRX0030"/>
    <d v="2025-01-29T00:00:00"/>
    <s v="CUST011"/>
    <x v="44"/>
    <s v="P001"/>
    <s v="Laptop"/>
    <x v="0"/>
    <n v="4"/>
    <n v="899.99"/>
    <s v="PayPal"/>
    <s v="Central"/>
    <x v="0"/>
    <d v="2022-06-22T00:00:00"/>
    <n v="3599.96"/>
    <n v="1420"/>
    <n v="468"/>
    <x v="9"/>
    <n v="202501"/>
  </r>
  <r>
    <s v="TRX0178"/>
    <d v="2025-01-29T00:00:00"/>
    <s v="CUST025"/>
    <x v="14"/>
    <s v="P007"/>
    <s v="Desk"/>
    <x v="2"/>
    <n v="3"/>
    <n v="299.99"/>
    <s v="Debit Card"/>
    <s v="West"/>
    <x v="2"/>
    <d v="2023-01-26T00:00:00"/>
    <n v="899.97"/>
    <n v="1202"/>
    <n v="468"/>
    <x v="9"/>
    <n v="202501"/>
  </r>
  <r>
    <s v="TRX0188"/>
    <d v="2025-01-29T00:00:00"/>
    <s v="CUST045"/>
    <x v="46"/>
    <s v="P002"/>
    <s v="Smartphone"/>
    <x v="0"/>
    <n v="2"/>
    <n v="699.99"/>
    <s v="Debit Card"/>
    <s v="Central"/>
    <x v="1"/>
    <d v="2022-04-30T00:00:00"/>
    <n v="1399.98"/>
    <n v="1473"/>
    <n v="468"/>
    <x v="9"/>
    <n v="202501"/>
  </r>
  <r>
    <s v="TRX0010"/>
    <d v="2025-01-31T00:00:00"/>
    <s v="CUST026"/>
    <x v="8"/>
    <s v="P002"/>
    <s v="Smartphone"/>
    <x v="0"/>
    <n v="4"/>
    <n v="699.99"/>
    <s v="Debit Card"/>
    <s v="West"/>
    <x v="1"/>
    <d v="2022-05-11T00:00:00"/>
    <n v="2799.96"/>
    <n v="1462"/>
    <n v="466"/>
    <x v="9"/>
    <n v="202501"/>
  </r>
  <r>
    <s v="TRX0069"/>
    <d v="2025-01-31T00:00:00"/>
    <s v="CUST029"/>
    <x v="23"/>
    <s v="P010"/>
    <s v="Keyboard"/>
    <x v="0"/>
    <n v="2"/>
    <n v="89.99"/>
    <s v="Debit Card"/>
    <s v="South"/>
    <x v="0"/>
    <d v="2022-08-04T00:00:00"/>
    <n v="179.98"/>
    <n v="1377"/>
    <n v="466"/>
    <x v="9"/>
    <n v="202501"/>
  </r>
  <r>
    <s v="TRX0166"/>
    <d v="2025-01-31T00:00:00"/>
    <s v="CUST003"/>
    <x v="4"/>
    <s v="P010"/>
    <s v="Keyboard"/>
    <x v="0"/>
    <n v="3"/>
    <n v="89.99"/>
    <s v="Debit Card"/>
    <s v="South"/>
    <x v="1"/>
    <d v="2024-01-16T00:00:00"/>
    <n v="269.97000000000003"/>
    <n v="847"/>
    <n v="466"/>
    <x v="9"/>
    <n v="202501"/>
  </r>
  <r>
    <s v="TRX0219"/>
    <d v="2025-02-04T00:00:00"/>
    <s v="CUST037"/>
    <x v="48"/>
    <s v="P005"/>
    <s v="Blender"/>
    <x v="1"/>
    <n v="1"/>
    <n v="59.99"/>
    <s v="Debit Card"/>
    <s v="Central"/>
    <x v="2"/>
    <d v="2023-04-29T00:00:00"/>
    <n v="59.99"/>
    <n v="1109"/>
    <n v="462"/>
    <x v="10"/>
    <n v="202502"/>
  </r>
  <r>
    <s v="TRX0024"/>
    <d v="2025-02-07T00:00:00"/>
    <s v="CUST042"/>
    <x v="43"/>
    <s v="P008"/>
    <s v="Bookshelf"/>
    <x v="2"/>
    <n v="3"/>
    <n v="149.99"/>
    <s v="Debit Card"/>
    <s v="North"/>
    <x v="1"/>
    <d v="2022-01-03T00:00:00"/>
    <n v="449.97"/>
    <n v="1590"/>
    <n v="459"/>
    <x v="10"/>
    <n v="202502"/>
  </r>
  <r>
    <s v="TRX0105"/>
    <d v="2025-02-07T00:00:00"/>
    <s v="CUST048"/>
    <x v="16"/>
    <s v="P007"/>
    <s v="Desk"/>
    <x v="2"/>
    <n v="5"/>
    <n v="299.99"/>
    <s v="Credit Card"/>
    <s v="South"/>
    <x v="0"/>
    <d v="2023-02-02T00:00:00"/>
    <n v="1499.95"/>
    <n v="1195"/>
    <n v="459"/>
    <x v="10"/>
    <n v="202502"/>
  </r>
  <r>
    <s v="TRX0011"/>
    <d v="2025-02-08T00:00:00"/>
    <s v="CUST040"/>
    <x v="30"/>
    <s v="P005"/>
    <s v="Blender"/>
    <x v="1"/>
    <n v="5"/>
    <n v="59.99"/>
    <s v="Debit Card"/>
    <s v="Central"/>
    <x v="2"/>
    <d v="2023-09-08T00:00:00"/>
    <n v="299.95"/>
    <n v="977"/>
    <n v="458"/>
    <x v="10"/>
    <n v="202502"/>
  </r>
  <r>
    <s v="TRX0187"/>
    <d v="2025-02-13T00:00:00"/>
    <s v="CUST036"/>
    <x v="20"/>
    <s v="P004"/>
    <s v="Coffee Maker"/>
    <x v="1"/>
    <n v="3"/>
    <n v="79.989999999999995"/>
    <s v="Cash"/>
    <s v="East"/>
    <x v="1"/>
    <d v="2021-08-28T00:00:00"/>
    <n v="239.97"/>
    <n v="1718"/>
    <n v="453"/>
    <x v="10"/>
    <n v="202502"/>
  </r>
  <r>
    <s v="TRX0089"/>
    <d v="2025-02-16T00:00:00"/>
    <s v="CUST021"/>
    <x v="2"/>
    <s v="P006"/>
    <s v="Office Chair"/>
    <x v="2"/>
    <n v="3"/>
    <n v="199.99"/>
    <s v="Cash"/>
    <s v="Central"/>
    <x v="0"/>
    <d v="2022-06-23T00:00:00"/>
    <n v="599.97"/>
    <n v="1419"/>
    <n v="450"/>
    <x v="10"/>
    <n v="202502"/>
  </r>
  <r>
    <s v="TRX0196"/>
    <d v="2025-02-16T00:00:00"/>
    <s v="CUST023"/>
    <x v="0"/>
    <s v="P010"/>
    <s v="Keyboard"/>
    <x v="0"/>
    <n v="2"/>
    <n v="89.99"/>
    <s v="PayPal"/>
    <s v="Central"/>
    <x v="0"/>
    <d v="2023-11-27T00:00:00"/>
    <n v="179.98"/>
    <n v="897"/>
    <n v="450"/>
    <x v="10"/>
    <n v="202502"/>
  </r>
  <r>
    <s v="TRX0118"/>
    <d v="2025-02-17T00:00:00"/>
    <s v="CUST015"/>
    <x v="45"/>
    <s v="P008"/>
    <s v="Bookshelf"/>
    <x v="2"/>
    <n v="2"/>
    <n v="149.99"/>
    <s v="Cash"/>
    <s v="South"/>
    <x v="1"/>
    <d v="2022-06-16T00:00:00"/>
    <n v="299.98"/>
    <n v="1426"/>
    <n v="449"/>
    <x v="10"/>
    <n v="202502"/>
  </r>
  <r>
    <s v="TRX0179"/>
    <d v="2025-02-19T00:00:00"/>
    <s v="CUST029"/>
    <x v="23"/>
    <s v="P002"/>
    <s v="Smartphone"/>
    <x v="0"/>
    <n v="5"/>
    <n v="699.99"/>
    <s v="PayPal"/>
    <s v="South"/>
    <x v="1"/>
    <d v="2024-03-01T00:00:00"/>
    <n v="3499.95"/>
    <n v="802"/>
    <n v="447"/>
    <x v="10"/>
    <n v="202502"/>
  </r>
  <r>
    <s v="TRX0168"/>
    <d v="2025-02-19T00:00:00"/>
    <s v="CUST003"/>
    <x v="4"/>
    <s v="P008"/>
    <s v="Bookshelf"/>
    <x v="2"/>
    <n v="3"/>
    <n v="149.99"/>
    <s v="PayPal"/>
    <s v="Central"/>
    <x v="2"/>
    <d v="2022-03-13T00:00:00"/>
    <n v="449.97"/>
    <n v="1521"/>
    <n v="447"/>
    <x v="10"/>
    <n v="202502"/>
  </r>
  <r>
    <s v="TRX0214"/>
    <d v="2025-02-20T00:00:00"/>
    <s v="CUST018"/>
    <x v="17"/>
    <s v="P001"/>
    <s v="Laptop"/>
    <x v="0"/>
    <n v="3"/>
    <n v="899.99"/>
    <s v="Cash"/>
    <s v="East"/>
    <x v="2"/>
    <d v="2022-02-21T00:00:00"/>
    <n v="2699.97"/>
    <n v="1541"/>
    <n v="446"/>
    <x v="10"/>
    <n v="202502"/>
  </r>
  <r>
    <s v="TRX0221"/>
    <d v="2025-02-20T00:00:00"/>
    <s v="CUST033"/>
    <x v="37"/>
    <s v="P006"/>
    <s v="Office Chair"/>
    <x v="2"/>
    <n v="3"/>
    <n v="199.99"/>
    <s v="Cash"/>
    <s v="West"/>
    <x v="1"/>
    <d v="2022-09-19T00:00:00"/>
    <n v="599.97"/>
    <n v="1331"/>
    <n v="446"/>
    <x v="10"/>
    <n v="202502"/>
  </r>
  <r>
    <s v="TRX0083"/>
    <d v="2025-02-22T00:00:00"/>
    <s v="CUST017"/>
    <x v="6"/>
    <s v="P007"/>
    <s v="Desk"/>
    <x v="2"/>
    <n v="5"/>
    <n v="299.99"/>
    <s v="Cash"/>
    <s v="West"/>
    <x v="2"/>
    <d v="2023-08-04T00:00:00"/>
    <n v="1499.95"/>
    <n v="1012"/>
    <n v="444"/>
    <x v="10"/>
    <n v="202502"/>
  </r>
  <r>
    <s v="TRX0151"/>
    <d v="2025-02-22T00:00:00"/>
    <s v="CUST040"/>
    <x v="30"/>
    <s v="P002"/>
    <s v="Smartphone"/>
    <x v="0"/>
    <n v="1"/>
    <n v="699.99"/>
    <s v="PayPal"/>
    <s v="West"/>
    <x v="0"/>
    <d v="2023-01-08T00:00:00"/>
    <n v="699.99"/>
    <n v="1220"/>
    <n v="444"/>
    <x v="10"/>
    <n v="202502"/>
  </r>
  <r>
    <s v="TRX0047"/>
    <d v="2025-02-23T00:00:00"/>
    <s v="CUST042"/>
    <x v="43"/>
    <s v="P002"/>
    <s v="Smartphone"/>
    <x v="0"/>
    <n v="1"/>
    <n v="699.99"/>
    <s v="Cash"/>
    <s v="North"/>
    <x v="1"/>
    <d v="2022-01-22T00:00:00"/>
    <n v="699.99"/>
    <n v="1571"/>
    <n v="443"/>
    <x v="10"/>
    <n v="202502"/>
  </r>
  <r>
    <s v="TRX0200"/>
    <d v="2025-02-23T00:00:00"/>
    <s v="CUST037"/>
    <x v="48"/>
    <s v="P008"/>
    <s v="Bookshelf"/>
    <x v="2"/>
    <n v="4"/>
    <n v="149.99"/>
    <s v="PayPal"/>
    <s v="North"/>
    <x v="1"/>
    <d v="2021-08-04T00:00:00"/>
    <n v="599.96"/>
    <n v="1742"/>
    <n v="443"/>
    <x v="10"/>
    <n v="202502"/>
  </r>
  <r>
    <s v="TRX0062"/>
    <d v="2025-02-23T00:00:00"/>
    <s v="CUST016"/>
    <x v="39"/>
    <s v="P010"/>
    <s v="Keyboard"/>
    <x v="0"/>
    <n v="5"/>
    <n v="89.99"/>
    <s v="PayPal"/>
    <s v="West"/>
    <x v="1"/>
    <d v="2023-08-02T00:00:00"/>
    <n v="449.95"/>
    <n v="1014"/>
    <n v="443"/>
    <x v="10"/>
    <n v="202502"/>
  </r>
  <r>
    <s v="TRX0182"/>
    <d v="2025-02-24T00:00:00"/>
    <s v="CUST031"/>
    <x v="26"/>
    <s v="P006"/>
    <s v="Office Chair"/>
    <x v="2"/>
    <n v="2"/>
    <n v="199.99"/>
    <s v="Cash"/>
    <s v="Central"/>
    <x v="1"/>
    <d v="2022-01-12T00:00:00"/>
    <n v="399.98"/>
    <n v="1581"/>
    <n v="442"/>
    <x v="10"/>
    <n v="202502"/>
  </r>
  <r>
    <s v="TRX0229"/>
    <d v="2025-02-27T00:00:00"/>
    <s v="CUST015"/>
    <x v="45"/>
    <s v="P005"/>
    <s v="Blender"/>
    <x v="1"/>
    <n v="4"/>
    <n v="59.99"/>
    <s v="Cash"/>
    <s v="West"/>
    <x v="2"/>
    <d v="2023-05-24T00:00:00"/>
    <n v="239.96"/>
    <n v="1084"/>
    <n v="439"/>
    <x v="10"/>
    <n v="202502"/>
  </r>
  <r>
    <s v="TRX0048"/>
    <d v="2025-02-27T00:00:00"/>
    <s v="CUST048"/>
    <x v="16"/>
    <s v="P007"/>
    <s v="Desk"/>
    <x v="2"/>
    <n v="2"/>
    <n v="299.99"/>
    <s v="PayPal"/>
    <s v="South"/>
    <x v="0"/>
    <d v="2022-01-15T00:00:00"/>
    <n v="599.98"/>
    <n v="1578"/>
    <n v="439"/>
    <x v="10"/>
    <n v="202502"/>
  </r>
  <r>
    <s v="TRX0227"/>
    <d v="2025-03-02T00:00:00"/>
    <s v="CUST017"/>
    <x v="6"/>
    <s v="P008"/>
    <s v="Bookshelf"/>
    <x v="2"/>
    <n v="2"/>
    <n v="149.99"/>
    <s v="Cash"/>
    <s v="Central"/>
    <x v="0"/>
    <d v="2023-05-22T00:00:00"/>
    <n v="299.98"/>
    <n v="1086"/>
    <n v="436"/>
    <x v="11"/>
    <n v="202503"/>
  </r>
  <r>
    <s v="TRX0226"/>
    <d v="2025-03-04T00:00:00"/>
    <s v="CUST039"/>
    <x v="40"/>
    <s v="P002"/>
    <s v="Smartphone"/>
    <x v="0"/>
    <n v="5"/>
    <n v="699.99"/>
    <s v="Debit Card"/>
    <s v="East"/>
    <x v="1"/>
    <d v="2023-08-23T00:00:00"/>
    <n v="3499.95"/>
    <n v="993"/>
    <n v="434"/>
    <x v="11"/>
    <n v="202503"/>
  </r>
  <r>
    <s v="TRX0053"/>
    <d v="2025-03-05T00:00:00"/>
    <s v="CUST043"/>
    <x v="11"/>
    <s v="P005"/>
    <s v="Blender"/>
    <x v="1"/>
    <n v="5"/>
    <n v="59.99"/>
    <s v="Cash"/>
    <s v="West"/>
    <x v="1"/>
    <d v="2023-12-31T00:00:00"/>
    <n v="299.95"/>
    <n v="863"/>
    <n v="433"/>
    <x v="11"/>
    <n v="202503"/>
  </r>
  <r>
    <s v="TRX0233"/>
    <d v="2025-03-07T00:00:00"/>
    <s v="CUST023"/>
    <x v="0"/>
    <s v="P010"/>
    <s v="Keyboard"/>
    <x v="0"/>
    <n v="2"/>
    <n v="89.99"/>
    <s v="Credit Card"/>
    <s v="West"/>
    <x v="1"/>
    <d v="2024-01-04T00:00:00"/>
    <n v="179.98"/>
    <n v="859"/>
    <n v="431"/>
    <x v="11"/>
    <n v="202503"/>
  </r>
  <r>
    <s v="TRX0175"/>
    <d v="2025-03-07T00:00:00"/>
    <s v="CUST030"/>
    <x v="22"/>
    <s v="P009"/>
    <s v="Monitor"/>
    <x v="0"/>
    <n v="5"/>
    <n v="249.99"/>
    <s v="Cash"/>
    <s v="East"/>
    <x v="2"/>
    <d v="2021-12-10T00:00:00"/>
    <n v="1249.95"/>
    <n v="1614"/>
    <n v="431"/>
    <x v="11"/>
    <n v="202503"/>
  </r>
  <r>
    <s v="TRX0186"/>
    <d v="2025-03-08T00:00:00"/>
    <s v="CUST039"/>
    <x v="40"/>
    <s v="P008"/>
    <s v="Bookshelf"/>
    <x v="2"/>
    <n v="2"/>
    <n v="149.99"/>
    <s v="PayPal"/>
    <s v="Central"/>
    <x v="1"/>
    <d v="2022-03-12T00:00:00"/>
    <n v="299.98"/>
    <n v="1522"/>
    <n v="430"/>
    <x v="11"/>
    <n v="202503"/>
  </r>
  <r>
    <s v="TRX0016"/>
    <d v="2025-03-08T00:00:00"/>
    <s v="CUST035"/>
    <x v="28"/>
    <s v="P001"/>
    <s v="Laptop"/>
    <x v="0"/>
    <n v="5"/>
    <n v="899.99"/>
    <s v="PayPal"/>
    <s v="East"/>
    <x v="1"/>
    <d v="2024-04-07T00:00:00"/>
    <n v="4499.95"/>
    <n v="765"/>
    <n v="430"/>
    <x v="11"/>
    <n v="202503"/>
  </r>
  <r>
    <s v="TRX0199"/>
    <d v="2025-03-08T00:00:00"/>
    <s v="CUST017"/>
    <x v="6"/>
    <s v="P008"/>
    <s v="Bookshelf"/>
    <x v="2"/>
    <n v="4"/>
    <n v="149.99"/>
    <s v="Cash"/>
    <s v="Central"/>
    <x v="2"/>
    <d v="2023-12-03T00:00:00"/>
    <n v="599.96"/>
    <n v="891"/>
    <n v="430"/>
    <x v="11"/>
    <n v="202503"/>
  </r>
  <r>
    <s v="TRX0038"/>
    <d v="2025-03-10T00:00:00"/>
    <s v="CUST035"/>
    <x v="28"/>
    <s v="P009"/>
    <s v="Monitor"/>
    <x v="0"/>
    <n v="1"/>
    <n v="249.99"/>
    <s v="Cash"/>
    <s v="North"/>
    <x v="2"/>
    <d v="2023-07-10T00:00:00"/>
    <n v="249.99"/>
    <n v="1037"/>
    <n v="428"/>
    <x v="11"/>
    <n v="202503"/>
  </r>
  <r>
    <s v="TRX0014"/>
    <d v="2025-03-18T00:00:00"/>
    <s v="CUST033"/>
    <x v="37"/>
    <s v="P005"/>
    <s v="Blender"/>
    <x v="1"/>
    <n v="2"/>
    <n v="59.99"/>
    <s v="Credit Card"/>
    <s v="West"/>
    <x v="0"/>
    <d v="2023-09-24T00:00:00"/>
    <n v="119.98"/>
    <n v="961"/>
    <n v="420"/>
    <x v="11"/>
    <n v="202503"/>
  </r>
  <r>
    <s v="TRX0003"/>
    <d v="2025-03-21T00:00:00"/>
    <s v="CUST002"/>
    <x v="25"/>
    <s v="P008"/>
    <s v="Bookshelf"/>
    <x v="2"/>
    <n v="2"/>
    <n v="149.99"/>
    <s v="Cash"/>
    <s v="West"/>
    <x v="1"/>
    <d v="2023-11-03T00:00:00"/>
    <n v="299.98"/>
    <n v="921"/>
    <n v="417"/>
    <x v="11"/>
    <n v="202503"/>
  </r>
  <r>
    <s v="TRX0124"/>
    <d v="2025-03-21T00:00:00"/>
    <s v="CUST040"/>
    <x v="30"/>
    <s v="P001"/>
    <s v="Laptop"/>
    <x v="0"/>
    <n v="3"/>
    <n v="899.99"/>
    <s v="Debit Card"/>
    <s v="North"/>
    <x v="1"/>
    <d v="2022-11-11T00:00:00"/>
    <n v="2699.97"/>
    <n v="1278"/>
    <n v="417"/>
    <x v="11"/>
    <n v="202503"/>
  </r>
  <r>
    <s v="TRX0013"/>
    <d v="2025-03-21T00:00:00"/>
    <s v="CUST024"/>
    <x v="5"/>
    <s v="P001"/>
    <s v="Laptop"/>
    <x v="0"/>
    <n v="3"/>
    <n v="899.99"/>
    <s v="PayPal"/>
    <s v="North"/>
    <x v="0"/>
    <d v="2023-02-18T00:00:00"/>
    <n v="2699.97"/>
    <n v="1179"/>
    <n v="417"/>
    <x v="11"/>
    <n v="202503"/>
  </r>
  <r>
    <s v="TRX0019"/>
    <d v="2025-03-23T00:00:00"/>
    <s v="CUST023"/>
    <x v="0"/>
    <s v="P007"/>
    <s v="Desk"/>
    <x v="2"/>
    <n v="3"/>
    <n v="299.99"/>
    <s v="Credit Card"/>
    <s v="West"/>
    <x v="1"/>
    <d v="2023-11-04T00:00:00"/>
    <n v="899.97"/>
    <n v="920"/>
    <n v="415"/>
    <x v="11"/>
    <n v="202503"/>
  </r>
  <r>
    <s v="TRX0050"/>
    <d v="2025-03-24T00:00:00"/>
    <s v="CUST001"/>
    <x v="49"/>
    <s v="P008"/>
    <s v="Bookshelf"/>
    <x v="2"/>
    <n v="4"/>
    <n v="149.99"/>
    <s v="PayPal"/>
    <s v="West"/>
    <x v="2"/>
    <d v="2021-12-30T00:00:00"/>
    <n v="599.96"/>
    <n v="1594"/>
    <n v="414"/>
    <x v="11"/>
    <n v="202503"/>
  </r>
  <r>
    <s v="TRX0152"/>
    <d v="2025-03-27T00:00:00"/>
    <s v="CUST044"/>
    <x v="19"/>
    <s v="P004"/>
    <s v="Coffee Maker"/>
    <x v="1"/>
    <n v="4"/>
    <n v="79.989999999999995"/>
    <s v="Credit Card"/>
    <s v="Central"/>
    <x v="0"/>
    <d v="2023-12-28T00:00:00"/>
    <n v="319.95999999999998"/>
    <n v="866"/>
    <n v="411"/>
    <x v="11"/>
    <n v="202503"/>
  </r>
  <r>
    <s v="TRX0213"/>
    <d v="2025-03-29T00:00:00"/>
    <s v="CUST020"/>
    <x v="36"/>
    <s v="P010"/>
    <s v="Keyboard"/>
    <x v="0"/>
    <n v="5"/>
    <n v="89.99"/>
    <s v="PayPal"/>
    <s v="South"/>
    <x v="0"/>
    <d v="2022-05-23T00:00:00"/>
    <n v="449.95"/>
    <n v="1450"/>
    <n v="409"/>
    <x v="11"/>
    <n v="202503"/>
  </r>
  <r>
    <s v="TRX0197"/>
    <d v="2025-03-30T00:00:00"/>
    <s v="CUST048"/>
    <x v="16"/>
    <s v="P008"/>
    <s v="Bookshelf"/>
    <x v="2"/>
    <n v="3"/>
    <n v="149.99"/>
    <s v="PayPal"/>
    <s v="Central"/>
    <x v="2"/>
    <d v="2023-09-02T00:00:00"/>
    <n v="449.97"/>
    <n v="983"/>
    <n v="408"/>
    <x v="11"/>
    <n v="202503"/>
  </r>
  <r>
    <s v="TRX0250"/>
    <d v="2025-03-30T00:00:00"/>
    <s v="CUST026"/>
    <x v="8"/>
    <s v="P010"/>
    <s v="Keyboard"/>
    <x v="0"/>
    <n v="2"/>
    <n v="89.99"/>
    <s v="Debit Card"/>
    <s v="West"/>
    <x v="1"/>
    <d v="2021-11-22T00:00:00"/>
    <n v="179.98"/>
    <n v="1632"/>
    <n v="408"/>
    <x v="11"/>
    <n v="202503"/>
  </r>
  <r>
    <s v="TRX0068"/>
    <d v="2025-04-01T00:00:00"/>
    <s v="CUST044"/>
    <x v="19"/>
    <s v="P002"/>
    <s v="Smartphone"/>
    <x v="0"/>
    <n v="2"/>
    <n v="699.99"/>
    <s v="PayPal"/>
    <s v="North"/>
    <x v="2"/>
    <d v="2022-02-26T00:00:00"/>
    <n v="1399.98"/>
    <n v="1536"/>
    <n v="406"/>
    <x v="12"/>
    <n v="202504"/>
  </r>
  <r>
    <s v="TRX0144"/>
    <d v="2025-04-02T00:00:00"/>
    <s v="CUST029"/>
    <x v="23"/>
    <s v="P001"/>
    <s v="Laptop"/>
    <x v="0"/>
    <n v="3"/>
    <n v="899.99"/>
    <s v="Cash"/>
    <s v="Central"/>
    <x v="2"/>
    <d v="2023-01-27T00:00:00"/>
    <n v="2699.97"/>
    <n v="1201"/>
    <n v="405"/>
    <x v="12"/>
    <n v="202504"/>
  </r>
  <r>
    <s v="TRX0039"/>
    <d v="2025-04-08T00:00:00"/>
    <s v="CUST048"/>
    <x v="16"/>
    <s v="P004"/>
    <s v="Coffee Maker"/>
    <x v="1"/>
    <n v="3"/>
    <n v="79.989999999999995"/>
    <s v="Credit Card"/>
    <s v="North"/>
    <x v="0"/>
    <d v="2021-11-11T00:00:00"/>
    <n v="239.97"/>
    <n v="1643"/>
    <n v="399"/>
    <x v="12"/>
    <n v="202504"/>
  </r>
  <r>
    <s v="TRX0116"/>
    <d v="2025-04-09T00:00:00"/>
    <s v="CUST009"/>
    <x v="7"/>
    <s v="P010"/>
    <s v="Keyboard"/>
    <x v="0"/>
    <n v="1"/>
    <n v="89.99"/>
    <s v="Debit Card"/>
    <s v="East"/>
    <x v="0"/>
    <d v="2024-02-24T00:00:00"/>
    <n v="89.99"/>
    <n v="808"/>
    <n v="398"/>
    <x v="12"/>
    <n v="202504"/>
  </r>
  <r>
    <s v="TRX0120"/>
    <d v="2025-04-11T00:00:00"/>
    <s v="CUST045"/>
    <x v="46"/>
    <s v="P002"/>
    <s v="Smartphone"/>
    <x v="0"/>
    <n v="3"/>
    <n v="699.99"/>
    <s v="PayPal"/>
    <s v="North"/>
    <x v="0"/>
    <d v="2022-12-14T00:00:00"/>
    <n v="2099.9699999999998"/>
    <n v="1245"/>
    <n v="396"/>
    <x v="12"/>
    <n v="202504"/>
  </r>
  <r>
    <s v="TRX0103"/>
    <d v="2025-04-11T00:00:00"/>
    <s v="CUST039"/>
    <x v="40"/>
    <s v="P010"/>
    <s v="Keyboard"/>
    <x v="0"/>
    <n v="2"/>
    <n v="89.99"/>
    <s v="Debit Card"/>
    <s v="East"/>
    <x v="0"/>
    <d v="2023-06-11T00:00:00"/>
    <n v="179.98"/>
    <n v="1066"/>
    <n v="396"/>
    <x v="12"/>
    <n v="202504"/>
  </r>
  <r>
    <s v="TRX0064"/>
    <d v="2025-04-11T00:00:00"/>
    <s v="CUST031"/>
    <x v="26"/>
    <s v="P010"/>
    <s v="Keyboard"/>
    <x v="0"/>
    <n v="3"/>
    <n v="89.99"/>
    <s v="Debit Card"/>
    <s v="North"/>
    <x v="1"/>
    <d v="2022-11-13T00:00:00"/>
    <n v="269.97000000000003"/>
    <n v="1276"/>
    <n v="396"/>
    <x v="12"/>
    <n v="2025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2A20A4-2693-4208-BC3C-22C7DE4ACE8A}" name="PivotTable7" cacheId="0" applyNumberFormats="0" applyBorderFormats="0" applyFontFormats="0" applyPatternFormats="0" applyAlignmentFormats="0" applyWidthHeightFormats="1" dataCaption="Values" updatedVersion="7" minRefreshableVersion="5" useAutoFormatting="1" itemPrintTitles="1" createdVersion="8" indent="0" compact="0" compactData="0" multipleFieldFilters="0" chartFormat="6">
  <location ref="A39:B45" firstHeaderRow="1" firstDataRow="1" firstDataCol="1"/>
  <pivotFields count="16">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axis="axisRow" compact="0" outline="0" showAll="0">
      <items count="6">
        <item x="0"/>
        <item x="4"/>
        <item x="2"/>
        <item x="1"/>
        <item x="3"/>
        <item t="default"/>
      </items>
    </pivotField>
    <pivotField compact="0" outline="0" showAll="0">
      <items count="4">
        <item x="0"/>
        <item x="1"/>
        <item x="2"/>
        <item t="default"/>
      </items>
    </pivotField>
    <pivotField compact="0" numFmtId="164" outline="0" showAll="0"/>
    <pivotField dataField="1" compact="0" outline="0" showAll="0"/>
    <pivotField compact="0" outline="0" showAll="0"/>
    <pivotField compact="0" outline="0" showAll="0"/>
  </pivotFields>
  <rowFields count="1">
    <field x="10"/>
  </rowFields>
  <rowItems count="6">
    <i>
      <x/>
    </i>
    <i>
      <x v="1"/>
    </i>
    <i>
      <x v="2"/>
    </i>
    <i>
      <x v="3"/>
    </i>
    <i>
      <x v="4"/>
    </i>
    <i t="grand">
      <x/>
    </i>
  </rowItems>
  <colItems count="1">
    <i/>
  </colItems>
  <dataFields count="1">
    <dataField name="Sum of Total_Amount" fld="13" baseField="0" baseItem="0" numFmtId="167"/>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BF377A-0F4A-4D1C-A2F2-BDA57CC2C469}" name="PivotTable9" cacheId="1"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
  <location ref="G39:H50" firstHeaderRow="1" firstDataRow="1" firstDataCol="1"/>
  <pivotFields count="18">
    <pivotField compact="0" outline="0" showAll="0"/>
    <pivotField compact="0" numFmtId="164" outline="0" showAll="0"/>
    <pivotField compact="0" outline="0" showAll="0"/>
    <pivotField axis="axisRow" compact="0" outline="0"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items count="4">
        <item x="0"/>
        <item x="1"/>
        <item x="2"/>
        <item t="default"/>
      </items>
    </pivotField>
    <pivotField compact="0" numFmtId="164" outline="0" showAll="0"/>
    <pivotField dataField="1" compact="0" outline="0" showAll="0"/>
    <pivotField compact="0" outline="0" showAll="0"/>
    <pivotField compact="0" outline="0" showAll="0"/>
    <pivotField compact="0" outline="0" showAll="0"/>
    <pivotField compact="0" outline="0" showAll="0"/>
  </pivotFields>
  <rowFields count="1">
    <field x="3"/>
  </rowFields>
  <rowItems count="11">
    <i>
      <x v="1"/>
    </i>
    <i>
      <x v="6"/>
    </i>
    <i>
      <x v="9"/>
    </i>
    <i>
      <x v="11"/>
    </i>
    <i>
      <x v="22"/>
    </i>
    <i>
      <x v="24"/>
    </i>
    <i>
      <x v="27"/>
    </i>
    <i>
      <x v="32"/>
    </i>
    <i>
      <x v="36"/>
    </i>
    <i>
      <x v="37"/>
    </i>
    <i t="grand">
      <x/>
    </i>
  </rowItems>
  <colItems count="1">
    <i/>
  </colItems>
  <dataFields count="1">
    <dataField name="Sum of Total_Amount"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AE50F9-0AC4-4AD1-8F87-004F71B37A1C}" name="PivotTable8" cacheId="1"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6">
  <location ref="D40:E44" firstHeaderRow="1" firstDataRow="1" firstDataCol="1"/>
  <pivotFields count="18">
    <pivotField compact="0" outline="0" showAll="0"/>
    <pivotField compact="0" numFmtId="164"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items count="4">
        <item x="0"/>
        <item x="1"/>
        <item x="2"/>
        <item t="default"/>
      </items>
    </pivotField>
    <pivotField compact="0" numFmtId="164" outline="0" showAll="0"/>
    <pivotField dataField="1" compact="0" outline="0" showAll="0"/>
    <pivotField compact="0" outline="0" showAll="0"/>
    <pivotField compact="0" outline="0" showAll="0"/>
    <pivotField compact="0" outline="0" showAll="0"/>
    <pivotField compact="0" outline="0" showAll="0"/>
  </pivotFields>
  <rowFields count="1">
    <field x="6"/>
  </rowFields>
  <rowItems count="4">
    <i>
      <x/>
    </i>
    <i>
      <x v="1"/>
    </i>
    <i>
      <x v="2"/>
    </i>
    <i t="grand">
      <x/>
    </i>
  </rowItems>
  <colItems count="1">
    <i/>
  </colItems>
  <dataFields count="1">
    <dataField name="Sum of Total_Amount" fld="13" baseField="0" baseItem="0" numFmtId="167"/>
  </dataFields>
  <formats count="1">
    <format dxfId="4">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6"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6" count="1" selected="0">
            <x v="0"/>
          </reference>
        </references>
      </pivotArea>
    </chartFormat>
    <chartFormat chart="4" format="15">
      <pivotArea type="data" outline="0" fieldPosition="0">
        <references count="2">
          <reference field="4294967294" count="1" selected="0">
            <x v="0"/>
          </reference>
          <reference field="6" count="1" selected="0">
            <x v="1"/>
          </reference>
        </references>
      </pivotArea>
    </chartFormat>
    <chartFormat chart="4" format="16">
      <pivotArea type="data" outline="0" fieldPosition="0">
        <references count="2">
          <reference field="4294967294" count="1" selected="0">
            <x v="0"/>
          </reference>
          <reference field="6"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0"/>
          </reference>
        </references>
      </pivotArea>
    </chartFormat>
    <chartFormat chart="5" format="2">
      <pivotArea type="data" outline="0" fieldPosition="0">
        <references count="2">
          <reference field="4294967294" count="1" selected="0">
            <x v="0"/>
          </reference>
          <reference field="6" count="1" selected="0">
            <x v="1"/>
          </reference>
        </references>
      </pivotArea>
    </chartFormat>
    <chartFormat chart="5"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98FC8E-9537-4E59-9DE5-AE59352D3D3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B8" firstHeaderRow="1" firstDataRow="1" firstDataCol="1"/>
  <pivotFields count="16">
    <pivotField compact="0" outline="0" showAll="0"/>
    <pivotField compact="0" numFmtId="164"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axis="axisRow" compact="0" outline="0" showAll="0">
      <items count="6">
        <item x="0"/>
        <item x="4"/>
        <item x="2"/>
        <item x="1"/>
        <item x="3"/>
        <item t="default"/>
      </items>
    </pivotField>
    <pivotField compact="0" outline="0" showAll="0">
      <items count="4">
        <item x="0"/>
        <item x="1"/>
        <item x="2"/>
        <item t="default"/>
      </items>
    </pivotField>
    <pivotField compact="0" numFmtId="164" outline="0" showAll="0"/>
    <pivotField dataField="1" compact="0" outline="0" showAll="0"/>
    <pivotField compact="0" outline="0" showAll="0"/>
    <pivotField compact="0" outline="0" showAll="0"/>
  </pivotFields>
  <rowFields count="1">
    <field x="10"/>
  </rowFields>
  <rowItems count="6">
    <i>
      <x/>
    </i>
    <i>
      <x v="1"/>
    </i>
    <i>
      <x v="2"/>
    </i>
    <i>
      <x v="3"/>
    </i>
    <i>
      <x v="4"/>
    </i>
    <i t="grand">
      <x/>
    </i>
  </rowItems>
  <colItems count="1">
    <i/>
  </colItems>
  <dataFields count="1">
    <dataField name="Sum of Total_Amount" fld="13" baseField="0" baseItem="0" numFmtId="167"/>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5B5CEC-3492-4A81-93D3-90F0F8BC5324}"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9:B43" firstHeaderRow="1" firstDataRow="1" firstDataCol="1"/>
  <pivotFields count="18">
    <pivotField compact="0" outline="0" showAll="0"/>
    <pivotField compact="0" numFmtId="164"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compact="0" numFmtId="164" outline="0" showAll="0"/>
    <pivotField dataField="1" compact="0" outline="0" showAll="0"/>
    <pivotField compact="0" outline="0" showAll="0"/>
    <pivotField compact="0" outline="0" showAll="0"/>
    <pivotField compact="0" outline="0" showAll="0"/>
    <pivotField compact="0" outline="0" showAll="0"/>
  </pivotFields>
  <rowFields count="1">
    <field x="6"/>
  </rowFields>
  <rowItems count="4">
    <i>
      <x/>
    </i>
    <i>
      <x v="1"/>
    </i>
    <i>
      <x v="2"/>
    </i>
    <i t="grand">
      <x/>
    </i>
  </rowItems>
  <colItems count="1">
    <i/>
  </colItems>
  <dataFields count="1">
    <dataField name="Sum of Total_Amount" fld="13" baseField="0" baseItem="0" numFmtId="167"/>
  </dataFields>
  <formats count="1">
    <format dxfId="1">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6"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25959B-9C09-4A9F-A609-E2A737DFAB87}"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7:B31" firstHeaderRow="1" firstDataRow="1" firstDataCol="1"/>
  <pivotFields count="18">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dataField="1" compact="0" outline="0" showAll="0"/>
    <pivotField compact="0" outline="0" showAll="0"/>
    <pivotField compact="0" outline="0" showAll="0"/>
    <pivotField axis="axisRow" compact="0" outline="0" showAll="0">
      <items count="14">
        <item x="0"/>
        <item x="1"/>
        <item x="2"/>
        <item x="3"/>
        <item x="4"/>
        <item x="5"/>
        <item x="6"/>
        <item x="7"/>
        <item x="8"/>
        <item x="9"/>
        <item x="10"/>
        <item x="11"/>
        <item x="12"/>
        <item t="default"/>
      </items>
    </pivotField>
    <pivotField compact="0" outline="0" showAll="0"/>
  </pivotFields>
  <rowFields count="1">
    <field x="16"/>
  </rowFields>
  <rowItems count="14">
    <i>
      <x/>
    </i>
    <i>
      <x v="1"/>
    </i>
    <i>
      <x v="2"/>
    </i>
    <i>
      <x v="3"/>
    </i>
    <i>
      <x v="4"/>
    </i>
    <i>
      <x v="5"/>
    </i>
    <i>
      <x v="6"/>
    </i>
    <i>
      <x v="7"/>
    </i>
    <i>
      <x v="8"/>
    </i>
    <i>
      <x v="9"/>
    </i>
    <i>
      <x v="10"/>
    </i>
    <i>
      <x v="11"/>
    </i>
    <i>
      <x v="12"/>
    </i>
    <i t="grand">
      <x/>
    </i>
  </rowItems>
  <colItems count="1">
    <i/>
  </colItems>
  <dataFields count="1">
    <dataField name="Sum of Total_Amount" fld="13" baseField="0" baseItem="0" numFmtId="167"/>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0DB23E-6990-4EBE-B522-6F1C154306A4}" sourceName="Region">
  <pivotTables>
    <pivotTable tabId="7" name="PivotTable7"/>
  </pivotTables>
  <data>
    <tabular pivotCacheId="1549913714">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D1522FC-5105-44F5-9515-6A572ACF584A}" sourceName="Category">
  <pivotTables>
    <pivotTable tabId="7" name="PivotTable8"/>
    <pivotTable tabId="7" name="PivotTable9"/>
  </pivotTables>
  <data>
    <tabular pivotCacheId="210833823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83D74ABD-3A6A-4A34-9A59-AFED21EC1202}" sourceName="Customer_Segment">
  <pivotTables>
    <pivotTable tabId="7" name="PivotTable9"/>
    <pivotTable tabId="7" name="PivotTable8"/>
  </pivotTables>
  <data>
    <tabular pivotCacheId="210833823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B1F5EE-56E7-4059-B2DC-4C209C8B62C3}" cache="Slicer_Region" caption="Region" rowHeight="228600"/>
  <slicer name="Category 1" xr10:uid="{8BCB1E6F-990B-49F8-9780-82428ABFCD1D}" cache="Slicer_Category1" caption="Category" rowHeight="228600"/>
  <slicer name="Customer_Segment 1" xr10:uid="{A9CD970A-8545-4A1C-AD44-A03E94637328}" cache="Slicer_Customer_Segment1" caption="Customer_Segment" rowHeight="2286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A955248-13B6-4A29-B74F-8B77C1D35871}" sourceName="Date">
  <pivotTables>
    <pivotTable tabId="7" name="PivotTable7"/>
  </pivotTables>
  <state minimalRefreshVersion="6" lastRefreshVersion="6" pivotCacheId="154991371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6307D2-E921-4BBA-B839-A25FCDF0383B}" cache="NativeTimeline_Date" caption="Date" level="2" selectionLevel="2"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2A78B-6A95-44BC-9565-335D1805FA80}">
  <dimension ref="A1:V50"/>
  <sheetViews>
    <sheetView showGridLines="0" showRowColHeaders="0" tabSelected="1" zoomScale="83" workbookViewId="0">
      <selection activeCell="T33" sqref="T33"/>
    </sheetView>
  </sheetViews>
  <sheetFormatPr defaultRowHeight="14.4"/>
  <cols>
    <col min="1" max="1" width="10.77734375" bestFit="1" customWidth="1"/>
    <col min="2" max="2" width="19.77734375" bestFit="1" customWidth="1"/>
    <col min="4" max="4" width="11" bestFit="1" customWidth="1"/>
    <col min="5" max="5" width="19.77734375" bestFit="1" customWidth="1"/>
    <col min="7" max="7" width="17.6640625" bestFit="1" customWidth="1"/>
    <col min="8" max="8" width="19.77734375" bestFit="1" customWidth="1"/>
    <col min="9" max="9" width="12.6640625" bestFit="1" customWidth="1"/>
    <col min="10" max="10" width="15.5546875" bestFit="1" customWidth="1"/>
    <col min="11" max="11" width="14.44140625" customWidth="1"/>
    <col min="12" max="12" width="12.6640625" customWidth="1"/>
  </cols>
  <sheetData>
    <row r="1" spans="1:22" ht="15" customHeight="1">
      <c r="A1" s="73" t="s">
        <v>454</v>
      </c>
      <c r="B1" s="73"/>
      <c r="C1" s="73"/>
      <c r="D1" s="73"/>
      <c r="E1" s="73"/>
      <c r="F1" s="73"/>
      <c r="G1" s="73"/>
      <c r="H1" s="73"/>
      <c r="I1" s="73"/>
      <c r="J1" s="73"/>
      <c r="K1" s="73"/>
      <c r="L1" s="73"/>
      <c r="M1" s="73"/>
      <c r="N1" s="73"/>
      <c r="O1" s="23"/>
      <c r="P1" s="23"/>
      <c r="Q1" s="23"/>
      <c r="R1" s="23"/>
      <c r="S1" s="23"/>
      <c r="T1" s="23"/>
      <c r="U1" s="23"/>
      <c r="V1" s="23"/>
    </row>
    <row r="2" spans="1:22" ht="15" customHeight="1">
      <c r="A2" s="73"/>
      <c r="B2" s="73"/>
      <c r="C2" s="73"/>
      <c r="D2" s="73"/>
      <c r="E2" s="73"/>
      <c r="F2" s="73"/>
      <c r="G2" s="73"/>
      <c r="H2" s="73"/>
      <c r="I2" s="73"/>
      <c r="J2" s="73"/>
      <c r="K2" s="73"/>
      <c r="L2" s="73"/>
      <c r="M2" s="73"/>
      <c r="N2" s="73"/>
      <c r="O2" s="23"/>
      <c r="P2" s="23"/>
      <c r="Q2" s="23"/>
      <c r="R2" s="23"/>
      <c r="S2" s="23"/>
      <c r="T2" s="23"/>
      <c r="U2" s="23"/>
      <c r="V2" s="23"/>
    </row>
    <row r="3" spans="1:22" ht="15" customHeight="1">
      <c r="A3" s="73"/>
      <c r="B3" s="73"/>
      <c r="C3" s="73"/>
      <c r="D3" s="73"/>
      <c r="E3" s="73"/>
      <c r="F3" s="73"/>
      <c r="G3" s="73"/>
      <c r="H3" s="73"/>
      <c r="I3" s="73"/>
      <c r="J3" s="73"/>
      <c r="K3" s="73"/>
      <c r="L3" s="73"/>
      <c r="M3" s="73"/>
      <c r="N3" s="73"/>
      <c r="O3" s="23"/>
      <c r="P3" s="23"/>
      <c r="Q3" s="23"/>
      <c r="R3" s="23"/>
      <c r="S3" s="23"/>
      <c r="T3" s="23"/>
      <c r="U3" s="23"/>
      <c r="V3" s="23"/>
    </row>
    <row r="4" spans="1:22" ht="15" customHeight="1">
      <c r="A4" s="73"/>
      <c r="B4" s="73"/>
      <c r="C4" s="73"/>
      <c r="D4" s="73"/>
      <c r="E4" s="73"/>
      <c r="F4" s="73"/>
      <c r="G4" s="73"/>
      <c r="H4" s="73"/>
      <c r="I4" s="73"/>
      <c r="J4" s="73"/>
      <c r="K4" s="73"/>
      <c r="L4" s="73"/>
      <c r="M4" s="73"/>
      <c r="N4" s="73"/>
      <c r="O4" s="23"/>
      <c r="P4" s="23"/>
      <c r="Q4" s="23"/>
      <c r="R4" s="23"/>
      <c r="S4" s="23"/>
      <c r="T4" s="23"/>
      <c r="U4" s="23"/>
      <c r="V4" s="23"/>
    </row>
    <row r="5" spans="1:22">
      <c r="G5" s="75" t="s">
        <v>455</v>
      </c>
      <c r="H5" s="75"/>
      <c r="I5" s="75"/>
      <c r="J5" s="75"/>
      <c r="K5" s="75"/>
    </row>
    <row r="6" spans="1:22">
      <c r="G6" s="25" t="s">
        <v>456</v>
      </c>
      <c r="H6" s="25" t="s">
        <v>457</v>
      </c>
      <c r="I6" s="25" t="s">
        <v>458</v>
      </c>
      <c r="J6" s="75" t="s">
        <v>459</v>
      </c>
      <c r="K6" s="75"/>
    </row>
    <row r="7" spans="1:22">
      <c r="G7" s="25" t="s">
        <v>460</v>
      </c>
      <c r="H7" s="26">
        <f>SUM('Raw data'!N2:N251)</f>
        <v>229192.47000000032</v>
      </c>
      <c r="I7" s="26">
        <v>200000</v>
      </c>
      <c r="J7" s="74" t="str">
        <f>IF(H7&gt;=I7,"✅ On Target","❌ Below Target")</f>
        <v>✅ On Target</v>
      </c>
      <c r="K7" s="74"/>
    </row>
    <row r="8" spans="1:22">
      <c r="G8" s="25" t="s">
        <v>461</v>
      </c>
      <c r="H8" s="26">
        <f>AVERAGE('Raw data'!N2:N251)</f>
        <v>916.76988000000131</v>
      </c>
      <c r="I8" s="26">
        <v>800</v>
      </c>
      <c r="J8" s="74" t="str">
        <f>IF(H8&gt;=I8,"✅ On Target","❌ Below Target")</f>
        <v>✅ On Target</v>
      </c>
      <c r="K8" s="74"/>
    </row>
    <row r="9" spans="1:22">
      <c r="G9" s="25" t="s">
        <v>462</v>
      </c>
      <c r="H9" s="24">
        <f>COUNTA('Raw data'!A2:A251)</f>
        <v>250</v>
      </c>
      <c r="I9" s="24">
        <v>200</v>
      </c>
      <c r="J9" s="74" t="str">
        <f>IF(H9&gt;=I9,"✅ On Target","❌ Below Target")</f>
        <v>✅ On Target</v>
      </c>
      <c r="K9" s="74"/>
    </row>
    <row r="10" spans="1:22">
      <c r="G10" s="25" t="s">
        <v>463</v>
      </c>
      <c r="H10" s="24">
        <f>COUNTA(_xlfn.UNIQUE('Raw data'!C2:C251))</f>
        <v>50</v>
      </c>
      <c r="I10" s="24">
        <v>45</v>
      </c>
      <c r="J10" s="74" t="str">
        <f>IF(H10&gt;=I10,"✅ On Target","❌ Below Target")</f>
        <v>✅ On Target</v>
      </c>
      <c r="K10" s="74"/>
    </row>
    <row r="19" spans="13:13">
      <c r="M19" s="24"/>
    </row>
    <row r="39" spans="1:8">
      <c r="A39" s="3" t="s">
        <v>10</v>
      </c>
      <c r="B39" t="s">
        <v>437</v>
      </c>
      <c r="D39" s="76" t="s">
        <v>453</v>
      </c>
      <c r="E39" s="76"/>
      <c r="G39" s="3" t="s">
        <v>3</v>
      </c>
      <c r="H39" t="s">
        <v>437</v>
      </c>
    </row>
    <row r="40" spans="1:8">
      <c r="A40" t="s">
        <v>25</v>
      </c>
      <c r="B40" s="22">
        <v>41288.340000000018</v>
      </c>
      <c r="D40" s="3" t="s">
        <v>6</v>
      </c>
      <c r="E40" t="s">
        <v>437</v>
      </c>
      <c r="G40" t="s">
        <v>101</v>
      </c>
      <c r="H40" s="4">
        <v>10649.8</v>
      </c>
    </row>
    <row r="41" spans="1:8">
      <c r="A41" t="s">
        <v>67</v>
      </c>
      <c r="B41" s="22">
        <v>59288.389999999992</v>
      </c>
      <c r="D41" t="s">
        <v>37</v>
      </c>
      <c r="E41" s="22">
        <v>8338.7399999999961</v>
      </c>
      <c r="G41" t="s">
        <v>152</v>
      </c>
      <c r="H41" s="4">
        <v>7309.7999999999993</v>
      </c>
    </row>
    <row r="42" spans="1:8">
      <c r="A42" t="s">
        <v>44</v>
      </c>
      <c r="B42" s="22">
        <v>50808.310000000012</v>
      </c>
      <c r="D42" t="s">
        <v>23</v>
      </c>
      <c r="E42" s="22">
        <v>171756.05000000013</v>
      </c>
      <c r="G42" t="s">
        <v>53</v>
      </c>
      <c r="H42" s="4">
        <v>8269.7900000000009</v>
      </c>
    </row>
    <row r="43" spans="1:8">
      <c r="A43" t="s">
        <v>39</v>
      </c>
      <c r="B43" s="22">
        <v>36398.750000000007</v>
      </c>
      <c r="D43" t="s">
        <v>50</v>
      </c>
      <c r="E43" s="22">
        <v>49097.680000000015</v>
      </c>
      <c r="G43" t="s">
        <v>128</v>
      </c>
      <c r="H43" s="4">
        <v>11919.769999999999</v>
      </c>
    </row>
    <row r="44" spans="1:8">
      <c r="A44" t="s">
        <v>54</v>
      </c>
      <c r="B44" s="22">
        <v>41408.680000000015</v>
      </c>
      <c r="D44" t="s">
        <v>438</v>
      </c>
      <c r="E44" s="22">
        <v>229192.47000000015</v>
      </c>
      <c r="G44" t="s">
        <v>29</v>
      </c>
      <c r="H44" s="4">
        <v>6949.84</v>
      </c>
    </row>
    <row r="45" spans="1:8">
      <c r="A45" t="s">
        <v>438</v>
      </c>
      <c r="B45" s="22">
        <v>229192.47000000006</v>
      </c>
      <c r="G45" t="s">
        <v>70</v>
      </c>
      <c r="H45" s="4">
        <v>8009.7699999999995</v>
      </c>
    </row>
    <row r="46" spans="1:8">
      <c r="G46" t="s">
        <v>231</v>
      </c>
      <c r="H46" s="4">
        <v>6989.7699999999986</v>
      </c>
    </row>
    <row r="47" spans="1:8">
      <c r="G47" t="s">
        <v>91</v>
      </c>
      <c r="H47" s="4">
        <v>15659.65</v>
      </c>
    </row>
    <row r="48" spans="1:8">
      <c r="G48" t="s">
        <v>104</v>
      </c>
      <c r="H48" s="4">
        <v>9799.73</v>
      </c>
    </row>
    <row r="49" spans="7:8">
      <c r="G49" t="s">
        <v>20</v>
      </c>
      <c r="H49" s="4">
        <v>8309.739999999998</v>
      </c>
    </row>
    <row r="50" spans="7:8">
      <c r="G50" t="s">
        <v>438</v>
      </c>
      <c r="H50" s="4">
        <v>93867.659999999974</v>
      </c>
    </row>
  </sheetData>
  <mergeCells count="8">
    <mergeCell ref="A1:N4"/>
    <mergeCell ref="J10:K10"/>
    <mergeCell ref="G5:K5"/>
    <mergeCell ref="J6:K6"/>
    <mergeCell ref="D39:E39"/>
    <mergeCell ref="J8:K8"/>
    <mergeCell ref="J7:K7"/>
    <mergeCell ref="J9:K9"/>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B09F-AF96-49E6-928A-5943375576E3}">
  <dimension ref="A1:Q233"/>
  <sheetViews>
    <sheetView workbookViewId="0">
      <selection activeCell="M1" sqref="M1"/>
    </sheetView>
  </sheetViews>
  <sheetFormatPr defaultRowHeight="14.4"/>
  <cols>
    <col min="1" max="1" width="33.33203125" bestFit="1" customWidth="1"/>
    <col min="2" max="2" width="19" bestFit="1" customWidth="1"/>
    <col min="3" max="3" width="17" style="6" customWidth="1"/>
    <col min="4" max="4" width="17.88671875" bestFit="1" customWidth="1"/>
    <col min="5" max="5" width="5.33203125" bestFit="1" customWidth="1"/>
    <col min="6" max="6" width="12.6640625" bestFit="1" customWidth="1"/>
    <col min="7" max="7" width="10.33203125" bestFit="1" customWidth="1"/>
    <col min="8" max="8" width="2.6640625" customWidth="1"/>
    <col min="9" max="9" width="6.88671875" bestFit="1" customWidth="1"/>
    <col min="10" max="10" width="10.6640625" bestFit="1" customWidth="1"/>
    <col min="11" max="11" width="7.109375" bestFit="1" customWidth="1"/>
    <col min="12" max="12" width="8.88671875" bestFit="1" customWidth="1"/>
    <col min="13" max="13" width="6.33203125" bestFit="1" customWidth="1"/>
    <col min="14" max="14" width="7.88671875" bestFit="1" customWidth="1"/>
    <col min="15" max="15" width="5.109375" bestFit="1" customWidth="1"/>
    <col min="16" max="16" width="4.109375" bestFit="1" customWidth="1"/>
  </cols>
  <sheetData>
    <row r="1" spans="1:3">
      <c r="A1" s="78" t="s">
        <v>403</v>
      </c>
      <c r="B1" s="78"/>
    </row>
    <row r="2" spans="1:3">
      <c r="A2" s="13" t="s">
        <v>404</v>
      </c>
      <c r="B2" s="14">
        <f ca="1">TODAY()</f>
        <v>46159</v>
      </c>
    </row>
    <row r="3" spans="1:3">
      <c r="A3" s="13" t="s">
        <v>405</v>
      </c>
      <c r="B3" s="15">
        <f ca="1">NOW()</f>
        <v>46159.602401041666</v>
      </c>
    </row>
    <row r="4" spans="1:3">
      <c r="A4" s="13" t="s">
        <v>406</v>
      </c>
      <c r="B4" s="16">
        <f ca="1">DATEDIF(MIN('Raw data'!B2:B251),TODAY(),"D")</f>
        <v>766</v>
      </c>
    </row>
    <row r="5" spans="1:3">
      <c r="A5" s="13" t="s">
        <v>407</v>
      </c>
      <c r="B5" s="14">
        <f ca="1">EOMONTH(TODAY(),0)</f>
        <v>46173</v>
      </c>
    </row>
    <row r="7" spans="1:3">
      <c r="A7" s="77" t="s">
        <v>408</v>
      </c>
      <c r="B7" s="77"/>
    </row>
    <row r="8" spans="1:3">
      <c r="A8" s="7" t="s">
        <v>409</v>
      </c>
      <c r="B8" s="9">
        <f>SUM('Raw data'!N:N)</f>
        <v>229192.47000000032</v>
      </c>
    </row>
    <row r="9" spans="1:3">
      <c r="A9" s="7" t="s">
        <v>410</v>
      </c>
      <c r="B9" s="7">
        <f>COUNTA('Raw data'!A:A)</f>
        <v>251</v>
      </c>
    </row>
    <row r="10" spans="1:3">
      <c r="A10" s="7" t="s">
        <v>411</v>
      </c>
      <c r="B10" s="9">
        <f>AVERAGE('Raw data'!N:N)</f>
        <v>916.76988000000131</v>
      </c>
    </row>
    <row r="11" spans="1:3">
      <c r="A11" s="7" t="s">
        <v>412</v>
      </c>
      <c r="B11" s="10" cm="1">
        <f t="array" ref="B11">SUMPRODUCT(1/COUNTIF('Raw data'!C2:C251,'Raw data'!C2:C251))</f>
        <v>50.000000000000028</v>
      </c>
    </row>
    <row r="13" spans="1:3">
      <c r="A13" s="17" t="s">
        <v>413</v>
      </c>
      <c r="B13" s="8" t="str" cm="1">
        <f t="array" ref="B13">INDEX('Raw data'!F2:F251, MATCH(MAX(COUNTIF('Raw data'!F2:F251,'Raw data'!F2:F251)), COUNTIF('Raw data'!F2:F251,'Raw data'!F2:F251), 0))</f>
        <v>Bookshelf</v>
      </c>
    </row>
    <row r="15" spans="1:3">
      <c r="A15" s="77" t="s">
        <v>414</v>
      </c>
      <c r="B15" s="77"/>
      <c r="C15" s="77"/>
    </row>
    <row r="16" spans="1:3">
      <c r="A16" s="18" t="str" cm="1">
        <f t="array" ref="A16:A67">_xlfn.UNIQUE('Raw data'!D:D)</f>
        <v>Customer_Name</v>
      </c>
      <c r="B16" s="19" t="s">
        <v>415</v>
      </c>
      <c r="C16" s="20" t="s">
        <v>416</v>
      </c>
    </row>
    <row r="17" spans="1:3">
      <c r="A17" s="7" t="str">
        <v>Paul Baker</v>
      </c>
      <c r="B17" s="7">
        <f>SUMIF('Raw data'!D:D,Analysis!A17,'Raw data'!N:N)</f>
        <v>8309.739999999998</v>
      </c>
      <c r="C17" s="8" t="str">
        <f>IF(B17&gt;5000,"High value","Regular")</f>
        <v>High value</v>
      </c>
    </row>
    <row r="18" spans="1:3">
      <c r="A18" s="7" t="str">
        <v>Joseph Jackson</v>
      </c>
      <c r="B18" s="7">
        <f>SUMIF('Raw data'!D:D,Analysis!A18,'Raw data'!N:N)</f>
        <v>6949.84</v>
      </c>
      <c r="C18" s="8" t="str">
        <f t="shared" ref="C18:C66" si="0">IF(B18&gt;5000,"High value","Regular")</f>
        <v>High value</v>
      </c>
    </row>
    <row r="19" spans="1:3">
      <c r="A19" s="7" t="str">
        <v>Kevin Scott</v>
      </c>
      <c r="B19" s="7">
        <f>SUMIF('Raw data'!D:D,Analysis!A19,'Raw data'!N:N)</f>
        <v>3259.87</v>
      </c>
      <c r="C19" s="8" t="str">
        <f t="shared" si="0"/>
        <v>Regular</v>
      </c>
    </row>
    <row r="20" spans="1:3">
      <c r="A20" s="7" t="str">
        <v>Kathleen Bennett</v>
      </c>
      <c r="B20" s="7">
        <f>SUMIF('Raw data'!D:D,Analysis!A20,'Raw data'!N:N)</f>
        <v>4309.8099999999995</v>
      </c>
      <c r="C20" s="8" t="str">
        <f t="shared" si="0"/>
        <v>Regular</v>
      </c>
    </row>
    <row r="21" spans="1:3">
      <c r="A21" s="7" t="str">
        <v>Michael Brown</v>
      </c>
      <c r="B21" s="7">
        <f>SUMIF('Raw data'!D:D,Analysis!A21,'Raw data'!N:N)</f>
        <v>6169.7400000000007</v>
      </c>
      <c r="C21" s="8" t="str">
        <f t="shared" si="0"/>
        <v>High value</v>
      </c>
    </row>
    <row r="22" spans="1:3">
      <c r="A22" s="7" t="str">
        <v>Dorothy Nelson</v>
      </c>
      <c r="B22" s="7">
        <f>SUMIF('Raw data'!D:D,Analysis!A22,'Raw data'!N:N)</f>
        <v>8269.7900000000009</v>
      </c>
      <c r="C22" s="8" t="str">
        <f t="shared" si="0"/>
        <v>High value</v>
      </c>
    </row>
    <row r="23" spans="1:3">
      <c r="A23" s="7" t="str">
        <v>Charles Allen</v>
      </c>
      <c r="B23" s="7">
        <f>SUMIF('Raw data'!D:D,Analysis!A23,'Raw data'!N:N)</f>
        <v>5089.7300000000005</v>
      </c>
      <c r="C23" s="8" t="str">
        <f t="shared" si="0"/>
        <v>High value</v>
      </c>
    </row>
    <row r="24" spans="1:3">
      <c r="A24" s="7" t="str">
        <v>Robert Thomas</v>
      </c>
      <c r="B24" s="7">
        <f>SUMIF('Raw data'!D:D,Analysis!A24,'Raw data'!N:N)</f>
        <v>3509.8999999999996</v>
      </c>
      <c r="C24" s="8" t="str">
        <f t="shared" si="0"/>
        <v>Regular</v>
      </c>
    </row>
    <row r="25" spans="1:3">
      <c r="A25" s="7" t="str">
        <v>Karen Hill</v>
      </c>
      <c r="B25" s="7">
        <f>SUMIF('Raw data'!D:D,Analysis!A25,'Raw data'!N:N)</f>
        <v>8009.7699999999995</v>
      </c>
      <c r="C25" s="8" t="str">
        <f t="shared" si="0"/>
        <v>High value</v>
      </c>
    </row>
    <row r="26" spans="1:3">
      <c r="A26" s="7" t="str">
        <v>Susan Green</v>
      </c>
      <c r="B26" s="7">
        <f>SUMIF('Raw data'!D:D,Analysis!A26,'Raw data'!N:N)</f>
        <v>1979.89</v>
      </c>
      <c r="C26" s="8" t="str">
        <f t="shared" si="0"/>
        <v>Regular</v>
      </c>
    </row>
    <row r="27" spans="1:3">
      <c r="A27" s="7" t="str">
        <v>Peter Richardson</v>
      </c>
      <c r="B27" s="7">
        <f>SUMIF('Raw data'!D:D,Analysis!A27,'Raw data'!N:N)</f>
        <v>5949.85</v>
      </c>
      <c r="C27" s="8" t="str">
        <f t="shared" si="0"/>
        <v>High value</v>
      </c>
    </row>
    <row r="28" spans="1:3">
      <c r="A28" s="7" t="str">
        <v>Dennis Gray</v>
      </c>
      <c r="B28" s="7">
        <f>SUMIF('Raw data'!D:D,Analysis!A28,'Raw data'!N:N)</f>
        <v>479.91999999999996</v>
      </c>
      <c r="C28" s="8" t="str">
        <f t="shared" si="0"/>
        <v>Regular</v>
      </c>
    </row>
    <row r="29" spans="1:3">
      <c r="A29" s="7" t="str">
        <v>Michelle Rogers</v>
      </c>
      <c r="B29" s="7">
        <f>SUMIF('Raw data'!D:D,Analysis!A29,'Raw data'!N:N)</f>
        <v>4199.9399999999996</v>
      </c>
      <c r="C29" s="8" t="str">
        <f t="shared" si="0"/>
        <v>Regular</v>
      </c>
    </row>
    <row r="30" spans="1:3">
      <c r="A30" s="7" t="str">
        <v>George Adams</v>
      </c>
      <c r="B30" s="7">
        <f>SUMIF('Raw data'!D:D,Analysis!A30,'Raw data'!N:N)</f>
        <v>3779.93</v>
      </c>
      <c r="C30" s="8" t="str">
        <f t="shared" si="0"/>
        <v>Regular</v>
      </c>
    </row>
    <row r="31" spans="1:3">
      <c r="A31" s="7" t="str">
        <v>Mark Carter</v>
      </c>
      <c r="B31" s="7">
        <f>SUMIF('Raw data'!D:D,Analysis!A31,'Raw data'!N:N)</f>
        <v>15659.65</v>
      </c>
      <c r="C31" s="8" t="str">
        <f t="shared" si="0"/>
        <v>High value</v>
      </c>
    </row>
    <row r="32" spans="1:3">
      <c r="A32" s="7" t="str">
        <v>Maria Garcia</v>
      </c>
      <c r="B32" s="7">
        <f>SUMIF('Raw data'!D:D,Analysis!A32,'Raw data'!N:N)</f>
        <v>1909.93</v>
      </c>
      <c r="C32" s="8" t="str">
        <f t="shared" si="0"/>
        <v>Regular</v>
      </c>
    </row>
    <row r="33" spans="1:3">
      <c r="A33" s="7" t="str">
        <v>Virginia Sanders</v>
      </c>
      <c r="B33" s="7">
        <f>SUMIF('Raw data'!D:D,Analysis!A33,'Raw data'!N:N)</f>
        <v>4789.7900000000009</v>
      </c>
      <c r="C33" s="8" t="str">
        <f t="shared" si="0"/>
        <v>Regular</v>
      </c>
    </row>
    <row r="34" spans="1:3">
      <c r="A34" s="7" t="str">
        <v>Barbara Young</v>
      </c>
      <c r="B34" s="7">
        <f>SUMIF('Raw data'!D:D,Analysis!A34,'Raw data'!N:N)</f>
        <v>10649.8</v>
      </c>
      <c r="C34" s="8" t="str">
        <f t="shared" si="0"/>
        <v>High value</v>
      </c>
    </row>
    <row r="35" spans="1:3">
      <c r="A35" s="7" t="str">
        <v>Patricia Moore</v>
      </c>
      <c r="B35" s="7">
        <f>SUMIF('Raw data'!D:D,Analysis!A35,'Raw data'!N:N)</f>
        <v>9799.73</v>
      </c>
      <c r="C35" s="8" t="str">
        <f t="shared" si="0"/>
        <v>High value</v>
      </c>
    </row>
    <row r="36" spans="1:3">
      <c r="A36" s="7" t="str">
        <v>Cynthia Price</v>
      </c>
      <c r="B36" s="7">
        <f>SUMIF('Raw data'!D:D,Analysis!A36,'Raw data'!N:N)</f>
        <v>3769.8300000000004</v>
      </c>
      <c r="C36" s="8" t="str">
        <f t="shared" si="0"/>
        <v>Regular</v>
      </c>
    </row>
    <row r="37" spans="1:3">
      <c r="A37" s="7" t="str">
        <v>Nancy Collins</v>
      </c>
      <c r="B37" s="7">
        <f>SUMIF('Raw data'!D:D,Analysis!A37,'Raw data'!N:N)</f>
        <v>4189.7700000000004</v>
      </c>
      <c r="C37" s="8" t="str">
        <f t="shared" si="0"/>
        <v>Regular</v>
      </c>
    </row>
    <row r="38" spans="1:3">
      <c r="A38" s="7" t="str">
        <v>Linda Martin</v>
      </c>
      <c r="B38" s="7">
        <f>SUMIF('Raw data'!D:D,Analysis!A38,'Raw data'!N:N)</f>
        <v>1289.9000000000001</v>
      </c>
      <c r="C38" s="8" t="str">
        <f t="shared" si="0"/>
        <v>Regular</v>
      </c>
    </row>
    <row r="39" spans="1:3">
      <c r="A39" s="7" t="str">
        <v>Helen Roberts</v>
      </c>
      <c r="B39" s="7">
        <f>SUMIF('Raw data'!D:D,Analysis!A39,'Raw data'!N:N)</f>
        <v>6459.79</v>
      </c>
      <c r="C39" s="8" t="str">
        <f t="shared" si="0"/>
        <v>High value</v>
      </c>
    </row>
    <row r="40" spans="1:3">
      <c r="A40" s="7" t="str">
        <v>Edward Mitchell</v>
      </c>
      <c r="B40" s="7">
        <f>SUMIF('Raw data'!D:D,Analysis!A40,'Raw data'!N:N)</f>
        <v>11919.769999999999</v>
      </c>
      <c r="C40" s="8" t="str">
        <f t="shared" si="0"/>
        <v>High value</v>
      </c>
    </row>
    <row r="41" spans="1:3">
      <c r="A41" s="7" t="str">
        <v>Lisa Anderson</v>
      </c>
      <c r="B41" s="7">
        <f>SUMIF('Raw data'!D:D,Analysis!A41,'Raw data'!N:N)</f>
        <v>2039.8000000000002</v>
      </c>
      <c r="C41" s="8" t="str">
        <f t="shared" si="0"/>
        <v>Regular</v>
      </c>
    </row>
    <row r="42" spans="1:3">
      <c r="A42" s="7" t="str">
        <v>Emma Wilson</v>
      </c>
      <c r="B42" s="7">
        <f>SUMIF('Raw data'!D:D,Analysis!A42,'Raw data'!N:N)</f>
        <v>1229.8800000000001</v>
      </c>
      <c r="C42" s="8" t="str">
        <f t="shared" si="0"/>
        <v>Regular</v>
      </c>
    </row>
    <row r="43" spans="1:3">
      <c r="A43" s="7" t="str">
        <v>Steven Turner</v>
      </c>
      <c r="B43" s="7">
        <f>SUMIF('Raw data'!D:D,Analysis!A43,'Raw data'!N:N)</f>
        <v>2649.83</v>
      </c>
      <c r="C43" s="8" t="str">
        <f t="shared" si="0"/>
        <v>Regular</v>
      </c>
    </row>
    <row r="44" spans="1:3">
      <c r="A44" s="7" t="str">
        <v>Jennifer Taylor</v>
      </c>
      <c r="B44" s="7">
        <f>SUMIF('Raw data'!D:D,Analysis!A44,'Raw data'!N:N)</f>
        <v>4739.8500000000004</v>
      </c>
      <c r="C44" s="8" t="str">
        <f t="shared" si="0"/>
        <v>Regular</v>
      </c>
    </row>
    <row r="45" spans="1:3">
      <c r="A45" s="7" t="str">
        <v>Harry Morgan</v>
      </c>
      <c r="B45" s="7">
        <f>SUMIF('Raw data'!D:D,Analysis!A45,'Raw data'!N:N)</f>
        <v>5519.8899999999994</v>
      </c>
      <c r="C45" s="8" t="str">
        <f t="shared" si="0"/>
        <v>High value</v>
      </c>
    </row>
    <row r="46" spans="1:3">
      <c r="A46" s="7" t="str">
        <v>Daniel King</v>
      </c>
      <c r="B46" s="7">
        <f>SUMIF('Raw data'!D:D,Analysis!A46,'Raw data'!N:N)</f>
        <v>7309.7999999999993</v>
      </c>
      <c r="C46" s="8" t="str">
        <f t="shared" si="0"/>
        <v>High value</v>
      </c>
    </row>
    <row r="47" spans="1:3">
      <c r="A47" s="7" t="str">
        <v>Sharon Butler</v>
      </c>
      <c r="B47" s="7">
        <f>SUMIF('Raw data'!D:D,Analysis!A47,'Raw data'!N:N)</f>
        <v>5619.869999999999</v>
      </c>
      <c r="C47" s="8" t="str">
        <f t="shared" si="0"/>
        <v>High value</v>
      </c>
    </row>
    <row r="48" spans="1:3">
      <c r="A48" s="7" t="str">
        <v>Sarah Davis</v>
      </c>
      <c r="B48" s="7">
        <f>SUMIF('Raw data'!D:D,Analysis!A48,'Raw data'!N:N)</f>
        <v>5499.8099999999995</v>
      </c>
      <c r="C48" s="8" t="str">
        <f t="shared" si="0"/>
        <v>High value</v>
      </c>
    </row>
    <row r="49" spans="1:3">
      <c r="A49" s="7" t="str">
        <v>Betty Campbell</v>
      </c>
      <c r="B49" s="7">
        <f>SUMIF('Raw data'!D:D,Analysis!A49,'Raw data'!N:N)</f>
        <v>5649.84</v>
      </c>
      <c r="C49" s="8" t="str">
        <f t="shared" si="0"/>
        <v>High value</v>
      </c>
    </row>
    <row r="50" spans="1:3">
      <c r="A50" s="7" t="str">
        <v>Julie Foster</v>
      </c>
      <c r="B50" s="7">
        <f>SUMIF('Raw data'!D:D,Analysis!A50,'Raw data'!N:N)</f>
        <v>239.96</v>
      </c>
      <c r="C50" s="8" t="str">
        <f t="shared" si="0"/>
        <v>Regular</v>
      </c>
    </row>
    <row r="51" spans="1:3">
      <c r="A51" s="7" t="str">
        <v>Raymond Ross</v>
      </c>
      <c r="B51" s="7">
        <f>SUMIF('Raw data'!D:D,Analysis!A51,'Raw data'!N:N)</f>
        <v>3669.8500000000004</v>
      </c>
      <c r="C51" s="8" t="str">
        <f t="shared" si="0"/>
        <v>Regular</v>
      </c>
    </row>
    <row r="52" spans="1:3">
      <c r="A52" s="7" t="str">
        <v>David Martinez</v>
      </c>
      <c r="B52" s="7">
        <f>SUMIF('Raw data'!D:D,Analysis!A52,'Raw data'!N:N)</f>
        <v>1809.84</v>
      </c>
      <c r="C52" s="8" t="str">
        <f t="shared" si="0"/>
        <v>Regular</v>
      </c>
    </row>
    <row r="53" spans="1:3">
      <c r="A53" s="7" t="str">
        <v>Margaret Wright</v>
      </c>
      <c r="B53" s="7">
        <f>SUMIF('Raw data'!D:D,Analysis!A53,'Raw data'!N:N)</f>
        <v>2099.88</v>
      </c>
      <c r="C53" s="8" t="str">
        <f t="shared" si="0"/>
        <v>Regular</v>
      </c>
    </row>
    <row r="54" spans="1:3">
      <c r="A54" s="7" t="str">
        <v>Frank Torres</v>
      </c>
      <c r="B54" s="7">
        <f>SUMIF('Raw data'!D:D,Analysis!A54,'Raw data'!N:N)</f>
        <v>1479.91</v>
      </c>
      <c r="C54" s="8" t="str">
        <f t="shared" si="0"/>
        <v>Regular</v>
      </c>
    </row>
    <row r="55" spans="1:3">
      <c r="A55" s="7" t="str">
        <v>Gerald Murphy</v>
      </c>
      <c r="B55" s="7">
        <f>SUMIF('Raw data'!D:D,Analysis!A55,'Raw data'!N:N)</f>
        <v>6379.87</v>
      </c>
      <c r="C55" s="8" t="str">
        <f t="shared" si="0"/>
        <v>High value</v>
      </c>
    </row>
    <row r="56" spans="1:3">
      <c r="A56" s="7" t="str">
        <v>Elizabeth Hall</v>
      </c>
      <c r="B56" s="7">
        <f>SUMIF('Raw data'!D:D,Analysis!A56,'Raw data'!N:N)</f>
        <v>3649.8599999999997</v>
      </c>
      <c r="C56" s="8" t="str">
        <f t="shared" si="0"/>
        <v>Regular</v>
      </c>
    </row>
    <row r="57" spans="1:3">
      <c r="A57" s="7" t="str">
        <v>Lawrence Reed</v>
      </c>
      <c r="B57" s="7">
        <f>SUMIF('Raw data'!D:D,Analysis!A57,'Raw data'!N:N)</f>
        <v>6989.7699999999986</v>
      </c>
      <c r="C57" s="8" t="str">
        <f t="shared" si="0"/>
        <v>High value</v>
      </c>
    </row>
    <row r="58" spans="1:3">
      <c r="A58" s="7" t="str">
        <v>Carol Evans</v>
      </c>
      <c r="B58" s="7">
        <f>SUMIF('Raw data'!D:D,Analysis!A58,'Raw data'!N:N)</f>
        <v>1149.93</v>
      </c>
      <c r="C58" s="8" t="str">
        <f t="shared" si="0"/>
        <v>Regular</v>
      </c>
    </row>
    <row r="59" spans="1:3">
      <c r="A59" s="7" t="str">
        <v>Sandra Phillips</v>
      </c>
      <c r="B59" s="7">
        <f>SUMIF('Raw data'!D:D,Analysis!A59,'Raw data'!N:N)</f>
        <v>6349.83</v>
      </c>
      <c r="C59" s="8" t="str">
        <f t="shared" si="0"/>
        <v>High value</v>
      </c>
    </row>
    <row r="60" spans="1:3">
      <c r="A60" s="7" t="str">
        <v>Ruth Brooks</v>
      </c>
      <c r="B60" s="7">
        <f>SUMIF('Raw data'!D:D,Analysis!A60,'Raw data'!N:N)</f>
        <v>1749.92</v>
      </c>
      <c r="C60" s="8" t="str">
        <f t="shared" si="0"/>
        <v>Regular</v>
      </c>
    </row>
    <row r="61" spans="1:3">
      <c r="A61" s="7" t="str">
        <v>William White</v>
      </c>
      <c r="B61" s="7">
        <f>SUMIF('Raw data'!D:D,Analysis!A61,'Raw data'!N:N)</f>
        <v>4749.91</v>
      </c>
      <c r="C61" s="8" t="str">
        <f t="shared" si="0"/>
        <v>Regular</v>
      </c>
    </row>
    <row r="62" spans="1:3">
      <c r="A62" s="7" t="str">
        <v>Richard Lee</v>
      </c>
      <c r="B62" s="7">
        <f>SUMIF('Raw data'!D:D,Analysis!A62,'Raw data'!N:N)</f>
        <v>739.93000000000006</v>
      </c>
      <c r="C62" s="8" t="str">
        <f t="shared" si="0"/>
        <v>Regular</v>
      </c>
    </row>
    <row r="63" spans="1:3">
      <c r="A63" s="7" t="str">
        <v>Douglas Watson</v>
      </c>
      <c r="B63" s="7">
        <f>SUMIF('Raw data'!D:D,Analysis!A63,'Raw data'!N:N)</f>
        <v>4829.8899999999994</v>
      </c>
      <c r="C63" s="8" t="str">
        <f t="shared" si="0"/>
        <v>Regular</v>
      </c>
    </row>
    <row r="64" spans="1:3">
      <c r="A64" s="7" t="str">
        <v>James Johnson</v>
      </c>
      <c r="B64" s="7">
        <f>SUMIF('Raw data'!D:D,Analysis!A64,'Raw data'!N:N)</f>
        <v>179.97</v>
      </c>
      <c r="C64" s="8" t="str">
        <f t="shared" si="0"/>
        <v>Regular</v>
      </c>
    </row>
    <row r="65" spans="1:17">
      <c r="A65" s="7" t="str">
        <v>Arthur Edwards</v>
      </c>
      <c r="B65" s="7">
        <f>SUMIF('Raw data'!D:D,Analysis!A65,'Raw data'!N:N)</f>
        <v>1559.94</v>
      </c>
      <c r="C65" s="8" t="str">
        <f t="shared" si="0"/>
        <v>Regular</v>
      </c>
    </row>
    <row r="66" spans="1:17">
      <c r="A66" s="7" t="str">
        <v>John Smith</v>
      </c>
      <c r="B66" s="7">
        <f>SUMIF('Raw data'!D:D,Analysis!A66,'Raw data'!N:N)</f>
        <v>599.96</v>
      </c>
      <c r="C66" s="8" t="str">
        <f t="shared" si="0"/>
        <v>Regular</v>
      </c>
    </row>
    <row r="67" spans="1:17">
      <c r="A67" s="11">
        <v>0</v>
      </c>
    </row>
    <row r="69" spans="1:17">
      <c r="A69" s="77" t="s">
        <v>417</v>
      </c>
      <c r="B69" s="77"/>
      <c r="C69" s="77"/>
      <c r="D69" s="77"/>
      <c r="E69" s="77"/>
      <c r="F69" s="77"/>
      <c r="G69" s="77"/>
      <c r="H69" s="77"/>
      <c r="I69" s="77"/>
      <c r="J69" s="77"/>
      <c r="K69" s="77"/>
      <c r="L69" s="77"/>
      <c r="M69" s="77"/>
      <c r="N69" s="77"/>
      <c r="O69" s="77"/>
      <c r="P69" s="77"/>
    </row>
    <row r="70" spans="1:17">
      <c r="A70" s="79" t="s">
        <v>418</v>
      </c>
      <c r="B70" s="80"/>
      <c r="C70" s="80"/>
      <c r="D70" s="80"/>
      <c r="E70" s="80"/>
      <c r="F70" s="80"/>
      <c r="G70" s="80"/>
      <c r="H70" s="80"/>
      <c r="I70" s="80"/>
      <c r="J70" s="80"/>
      <c r="K70" s="80"/>
      <c r="L70" s="80"/>
      <c r="M70" s="80"/>
      <c r="N70" s="80"/>
      <c r="O70" s="80"/>
      <c r="P70" s="81"/>
      <c r="Q70" s="1"/>
    </row>
    <row r="71" spans="1:17">
      <c r="A71" s="10" t="str" cm="1">
        <f t="array" aca="1" ref="A71:P165" ca="1">_xlfn._xlws.FILTER('Raw data'!A2:P251,'Raw data'!L2:L251="Premium")</f>
        <v>TRX0023</v>
      </c>
      <c r="B71" s="7">
        <f ca="1"/>
        <v>45396</v>
      </c>
      <c r="C71" s="8" t="str">
        <f ca="1"/>
        <v>CUST013</v>
      </c>
      <c r="D71" s="7" t="str">
        <f ca="1"/>
        <v>Joseph Jackson</v>
      </c>
      <c r="E71" s="7" t="str">
        <f ca="1"/>
        <v>P009</v>
      </c>
      <c r="F71" s="7" t="str">
        <f ca="1"/>
        <v>Monitor</v>
      </c>
      <c r="G71" s="7" t="str">
        <f ca="1"/>
        <v>Electronics</v>
      </c>
      <c r="H71" s="7">
        <f ca="1"/>
        <v>3</v>
      </c>
      <c r="I71" s="7">
        <f ca="1"/>
        <v>249.99</v>
      </c>
      <c r="J71" s="7" t="str">
        <f ca="1"/>
        <v>Credit Card</v>
      </c>
      <c r="K71" s="7" t="str">
        <f ca="1"/>
        <v>Central</v>
      </c>
      <c r="L71" s="7" t="str">
        <f ca="1"/>
        <v>Premium</v>
      </c>
      <c r="M71" s="7">
        <f ca="1"/>
        <v>44575</v>
      </c>
      <c r="N71" s="7">
        <f ca="1"/>
        <v>749.97</v>
      </c>
      <c r="O71" s="7">
        <f ca="1"/>
        <v>1584</v>
      </c>
      <c r="P71" s="7">
        <f ca="1"/>
        <v>763</v>
      </c>
    </row>
    <row r="72" spans="1:17">
      <c r="A72" s="7" t="str">
        <f ca="1"/>
        <v>TRX0043</v>
      </c>
      <c r="B72" s="7">
        <f ca="1"/>
        <v>45400</v>
      </c>
      <c r="C72" s="8" t="str">
        <f ca="1"/>
        <v>CUST046</v>
      </c>
      <c r="D72" s="7" t="str">
        <f ca="1"/>
        <v>Kathleen Bennett</v>
      </c>
      <c r="E72" s="7" t="str">
        <f ca="1"/>
        <v>P005</v>
      </c>
      <c r="F72" s="7" t="str">
        <f ca="1"/>
        <v>Blender</v>
      </c>
      <c r="G72" s="7" t="str">
        <f ca="1"/>
        <v>Appliances</v>
      </c>
      <c r="H72" s="7">
        <f ca="1"/>
        <v>3</v>
      </c>
      <c r="I72" s="7">
        <f ca="1"/>
        <v>59.99</v>
      </c>
      <c r="J72" s="7" t="str">
        <f ca="1"/>
        <v>Cash</v>
      </c>
      <c r="K72" s="7" t="str">
        <f ca="1"/>
        <v>North</v>
      </c>
      <c r="L72" s="7" t="str">
        <f ca="1"/>
        <v>Premium</v>
      </c>
      <c r="M72" s="7">
        <f ca="1"/>
        <v>45114</v>
      </c>
      <c r="N72" s="7">
        <f ca="1"/>
        <v>179.97</v>
      </c>
      <c r="O72" s="7">
        <f ca="1"/>
        <v>1045</v>
      </c>
      <c r="P72" s="7">
        <f ca="1"/>
        <v>759</v>
      </c>
    </row>
    <row r="73" spans="1:17">
      <c r="A73" s="7" t="str">
        <f ca="1"/>
        <v>TRX0212</v>
      </c>
      <c r="B73" s="7">
        <f ca="1"/>
        <v>45400</v>
      </c>
      <c r="C73" s="8" t="str">
        <f ca="1"/>
        <v>CUST003</v>
      </c>
      <c r="D73" s="7" t="str">
        <f ca="1"/>
        <v>Michael Brown</v>
      </c>
      <c r="E73" s="7" t="str">
        <f ca="1"/>
        <v>P008</v>
      </c>
      <c r="F73" s="7" t="str">
        <f ca="1"/>
        <v>Bookshelf</v>
      </c>
      <c r="G73" s="7" t="str">
        <f ca="1"/>
        <v>Furniture</v>
      </c>
      <c r="H73" s="7">
        <f ca="1"/>
        <v>5</v>
      </c>
      <c r="I73" s="7">
        <f ca="1"/>
        <v>149.99</v>
      </c>
      <c r="J73" s="7" t="str">
        <f ca="1"/>
        <v>Credit Card</v>
      </c>
      <c r="K73" s="7" t="str">
        <f ca="1"/>
        <v>North</v>
      </c>
      <c r="L73" s="7" t="str">
        <f ca="1"/>
        <v>Premium</v>
      </c>
      <c r="M73" s="7">
        <f ca="1"/>
        <v>45295</v>
      </c>
      <c r="N73" s="7">
        <f ca="1"/>
        <v>749.95</v>
      </c>
      <c r="O73" s="7">
        <f ca="1"/>
        <v>864</v>
      </c>
      <c r="P73" s="7">
        <f ca="1"/>
        <v>759</v>
      </c>
    </row>
    <row r="74" spans="1:17">
      <c r="A74" s="7" t="str">
        <f ca="1"/>
        <v>TRX0185</v>
      </c>
      <c r="B74" s="7">
        <f ca="1"/>
        <v>45408</v>
      </c>
      <c r="C74" s="8" t="str">
        <f ca="1"/>
        <v>CUST026</v>
      </c>
      <c r="D74" s="7" t="str">
        <f ca="1"/>
        <v>Karen Hill</v>
      </c>
      <c r="E74" s="7" t="str">
        <f ca="1"/>
        <v>P005</v>
      </c>
      <c r="F74" s="7" t="str">
        <f ca="1"/>
        <v>Blender</v>
      </c>
      <c r="G74" s="7" t="str">
        <f ca="1"/>
        <v>Appliances</v>
      </c>
      <c r="H74" s="7">
        <f ca="1"/>
        <v>3</v>
      </c>
      <c r="I74" s="7">
        <f ca="1"/>
        <v>59.99</v>
      </c>
      <c r="J74" s="7" t="str">
        <f ca="1"/>
        <v>Cash</v>
      </c>
      <c r="K74" s="7" t="str">
        <f ca="1"/>
        <v>West</v>
      </c>
      <c r="L74" s="7" t="str">
        <f ca="1"/>
        <v>Premium</v>
      </c>
      <c r="M74" s="7">
        <f ca="1"/>
        <v>45207</v>
      </c>
      <c r="N74" s="7">
        <f ca="1"/>
        <v>179.97</v>
      </c>
      <c r="O74" s="7">
        <f ca="1"/>
        <v>952</v>
      </c>
      <c r="P74" s="7">
        <f ca="1"/>
        <v>751</v>
      </c>
    </row>
    <row r="75" spans="1:17">
      <c r="A75" s="7" t="str">
        <f ca="1"/>
        <v>TRX0246</v>
      </c>
      <c r="B75" s="7">
        <f ca="1"/>
        <v>45408</v>
      </c>
      <c r="C75" s="8" t="str">
        <f ca="1"/>
        <v>CUST041</v>
      </c>
      <c r="D75" s="7" t="str">
        <f ca="1"/>
        <v>Peter Richardson</v>
      </c>
      <c r="E75" s="7" t="str">
        <f ca="1"/>
        <v>P008</v>
      </c>
      <c r="F75" s="7" t="str">
        <f ca="1"/>
        <v>Bookshelf</v>
      </c>
      <c r="G75" s="7" t="str">
        <f ca="1"/>
        <v>Furniture</v>
      </c>
      <c r="H75" s="7">
        <f ca="1"/>
        <v>3</v>
      </c>
      <c r="I75" s="7">
        <f ca="1"/>
        <v>149.99</v>
      </c>
      <c r="J75" s="7" t="str">
        <f ca="1"/>
        <v>Cash</v>
      </c>
      <c r="K75" s="7" t="str">
        <f ca="1"/>
        <v>North</v>
      </c>
      <c r="L75" s="7" t="str">
        <f ca="1"/>
        <v>Premium</v>
      </c>
      <c r="M75" s="7">
        <f ca="1"/>
        <v>44806</v>
      </c>
      <c r="N75" s="7">
        <f ca="1"/>
        <v>449.97</v>
      </c>
      <c r="O75" s="7">
        <f ca="1"/>
        <v>1353</v>
      </c>
      <c r="P75" s="7">
        <f ca="1"/>
        <v>751</v>
      </c>
    </row>
    <row r="76" spans="1:17">
      <c r="A76" s="7" t="str">
        <f ca="1"/>
        <v>TRX0049</v>
      </c>
      <c r="B76" s="7">
        <f ca="1"/>
        <v>45410</v>
      </c>
      <c r="C76" s="8" t="str">
        <f ca="1"/>
        <v>CUST025</v>
      </c>
      <c r="D76" s="7" t="str">
        <f ca="1"/>
        <v>Mark Carter</v>
      </c>
      <c r="E76" s="7" t="str">
        <f ca="1"/>
        <v>P008</v>
      </c>
      <c r="F76" s="7" t="str">
        <f ca="1"/>
        <v>Bookshelf</v>
      </c>
      <c r="G76" s="7" t="str">
        <f ca="1"/>
        <v>Furniture</v>
      </c>
      <c r="H76" s="7">
        <f ca="1"/>
        <v>4</v>
      </c>
      <c r="I76" s="7">
        <f ca="1"/>
        <v>149.99</v>
      </c>
      <c r="J76" s="7" t="str">
        <f ca="1"/>
        <v>Debit Card</v>
      </c>
      <c r="K76" s="7" t="str">
        <f ca="1"/>
        <v>North</v>
      </c>
      <c r="L76" s="7" t="str">
        <f ca="1"/>
        <v>Premium</v>
      </c>
      <c r="M76" s="7">
        <f ca="1"/>
        <v>45374</v>
      </c>
      <c r="N76" s="7">
        <f ca="1"/>
        <v>599.96</v>
      </c>
      <c r="O76" s="7">
        <f ca="1"/>
        <v>785</v>
      </c>
      <c r="P76" s="7">
        <f ca="1"/>
        <v>749</v>
      </c>
    </row>
    <row r="77" spans="1:17">
      <c r="A77" s="7" t="str">
        <f ca="1"/>
        <v>TRX0222</v>
      </c>
      <c r="B77" s="7">
        <f ca="1"/>
        <v>45410</v>
      </c>
      <c r="C77" s="8" t="str">
        <f ca="1"/>
        <v>CUST048</v>
      </c>
      <c r="D77" s="7" t="str">
        <f ca="1"/>
        <v>Virginia Sanders</v>
      </c>
      <c r="E77" s="7" t="str">
        <f ca="1"/>
        <v>P009</v>
      </c>
      <c r="F77" s="7" t="str">
        <f ca="1"/>
        <v>Monitor</v>
      </c>
      <c r="G77" s="7" t="str">
        <f ca="1"/>
        <v>Electronics</v>
      </c>
      <c r="H77" s="7">
        <f ca="1"/>
        <v>3</v>
      </c>
      <c r="I77" s="7">
        <f ca="1"/>
        <v>249.99</v>
      </c>
      <c r="J77" s="7" t="str">
        <f ca="1"/>
        <v>Credit Card</v>
      </c>
      <c r="K77" s="7" t="str">
        <f ca="1"/>
        <v>North</v>
      </c>
      <c r="L77" s="7" t="str">
        <f ca="1"/>
        <v>Premium</v>
      </c>
      <c r="M77" s="7">
        <f ca="1"/>
        <v>45224</v>
      </c>
      <c r="N77" s="7">
        <f ca="1"/>
        <v>749.97</v>
      </c>
      <c r="O77" s="7">
        <f ca="1"/>
        <v>935</v>
      </c>
      <c r="P77" s="7">
        <f ca="1"/>
        <v>749</v>
      </c>
    </row>
    <row r="78" spans="1:17">
      <c r="A78" s="7" t="str">
        <f ca="1"/>
        <v>TRX0242</v>
      </c>
      <c r="B78" s="7">
        <f ca="1"/>
        <v>45416</v>
      </c>
      <c r="C78" s="8" t="str">
        <f ca="1"/>
        <v>CUST025</v>
      </c>
      <c r="D78" s="7" t="str">
        <f ca="1"/>
        <v>Mark Carter</v>
      </c>
      <c r="E78" s="7" t="str">
        <f ca="1"/>
        <v>P007</v>
      </c>
      <c r="F78" s="7" t="str">
        <f ca="1"/>
        <v>Desk</v>
      </c>
      <c r="G78" s="7" t="str">
        <f ca="1"/>
        <v>Furniture</v>
      </c>
      <c r="H78" s="7">
        <f ca="1"/>
        <v>4</v>
      </c>
      <c r="I78" s="7">
        <f ca="1"/>
        <v>299.99</v>
      </c>
      <c r="J78" s="7" t="str">
        <f ca="1"/>
        <v>Cash</v>
      </c>
      <c r="K78" s="7" t="str">
        <f ca="1"/>
        <v>West</v>
      </c>
      <c r="L78" s="7" t="str">
        <f ca="1"/>
        <v>Premium</v>
      </c>
      <c r="M78" s="7">
        <f ca="1"/>
        <v>44716</v>
      </c>
      <c r="N78" s="7">
        <f ca="1"/>
        <v>1199.96</v>
      </c>
      <c r="O78" s="7">
        <f ca="1"/>
        <v>1443</v>
      </c>
      <c r="P78" s="7">
        <f ca="1"/>
        <v>743</v>
      </c>
    </row>
    <row r="79" spans="1:17">
      <c r="A79" s="7" t="str">
        <f ca="1"/>
        <v>TRX0235</v>
      </c>
      <c r="B79" s="7">
        <f ca="1"/>
        <v>45424</v>
      </c>
      <c r="C79" s="8" t="str">
        <f ca="1"/>
        <v>CUST014</v>
      </c>
      <c r="D79" s="7" t="str">
        <f ca="1"/>
        <v>Linda Martin</v>
      </c>
      <c r="E79" s="7" t="str">
        <f ca="1"/>
        <v>P004</v>
      </c>
      <c r="F79" s="7" t="str">
        <f ca="1"/>
        <v>Coffee Maker</v>
      </c>
      <c r="G79" s="7" t="str">
        <f ca="1"/>
        <v>Appliances</v>
      </c>
      <c r="H79" s="7">
        <f ca="1"/>
        <v>3</v>
      </c>
      <c r="I79" s="7">
        <f ca="1"/>
        <v>79.989999999999995</v>
      </c>
      <c r="J79" s="7" t="str">
        <f ca="1"/>
        <v>PayPal</v>
      </c>
      <c r="K79" s="7" t="str">
        <f ca="1"/>
        <v>East</v>
      </c>
      <c r="L79" s="7" t="str">
        <f ca="1"/>
        <v>Premium</v>
      </c>
      <c r="M79" s="7">
        <f ca="1"/>
        <v>45012</v>
      </c>
      <c r="N79" s="7">
        <f ca="1"/>
        <v>239.97</v>
      </c>
      <c r="O79" s="7">
        <f ca="1"/>
        <v>1147</v>
      </c>
      <c r="P79" s="7">
        <f ca="1"/>
        <v>735</v>
      </c>
    </row>
    <row r="80" spans="1:17">
      <c r="A80" s="7" t="str">
        <f ca="1"/>
        <v>TRX0004</v>
      </c>
      <c r="B80" s="7">
        <f ca="1"/>
        <v>45424</v>
      </c>
      <c r="C80" s="8" t="str">
        <f ca="1"/>
        <v>CUST012</v>
      </c>
      <c r="D80" s="7" t="str">
        <f ca="1"/>
        <v>Patricia Moore</v>
      </c>
      <c r="E80" s="7" t="str">
        <f ca="1"/>
        <v>P010</v>
      </c>
      <c r="F80" s="7" t="str">
        <f ca="1"/>
        <v>Keyboard</v>
      </c>
      <c r="G80" s="7" t="str">
        <f ca="1"/>
        <v>Electronics</v>
      </c>
      <c r="H80" s="7">
        <f ca="1"/>
        <v>5</v>
      </c>
      <c r="I80" s="7">
        <f ca="1"/>
        <v>89.99</v>
      </c>
      <c r="J80" s="7" t="str">
        <f ca="1"/>
        <v>Cash</v>
      </c>
      <c r="K80" s="7" t="str">
        <f ca="1"/>
        <v>North</v>
      </c>
      <c r="L80" s="7" t="str">
        <f ca="1"/>
        <v>Premium</v>
      </c>
      <c r="M80" s="7">
        <f ca="1"/>
        <v>44919</v>
      </c>
      <c r="N80" s="7">
        <f ca="1"/>
        <v>449.95</v>
      </c>
      <c r="O80" s="7">
        <f ca="1"/>
        <v>1240</v>
      </c>
      <c r="P80" s="7">
        <f ca="1"/>
        <v>735</v>
      </c>
    </row>
    <row r="81" spans="1:16">
      <c r="A81" s="7" t="str">
        <f ca="1"/>
        <v>TRX0130</v>
      </c>
      <c r="B81" s="7">
        <f ca="1"/>
        <v>45430</v>
      </c>
      <c r="C81" s="8" t="str">
        <f ca="1"/>
        <v>CUST002</v>
      </c>
      <c r="D81" s="7" t="str">
        <f ca="1"/>
        <v>Emma Wilson</v>
      </c>
      <c r="E81" s="7" t="str">
        <f ca="1"/>
        <v>P008</v>
      </c>
      <c r="F81" s="7" t="str">
        <f ca="1"/>
        <v>Bookshelf</v>
      </c>
      <c r="G81" s="7" t="str">
        <f ca="1"/>
        <v>Furniture</v>
      </c>
      <c r="H81" s="7">
        <f ca="1"/>
        <v>3</v>
      </c>
      <c r="I81" s="7">
        <f ca="1"/>
        <v>149.99</v>
      </c>
      <c r="J81" s="7" t="str">
        <f ca="1"/>
        <v>Credit Card</v>
      </c>
      <c r="K81" s="7" t="str">
        <f ca="1"/>
        <v>West</v>
      </c>
      <c r="L81" s="7" t="str">
        <f ca="1"/>
        <v>Premium</v>
      </c>
      <c r="M81" s="7">
        <f ca="1"/>
        <v>45068</v>
      </c>
      <c r="N81" s="7">
        <f ca="1"/>
        <v>449.97</v>
      </c>
      <c r="O81" s="7">
        <f ca="1"/>
        <v>1091</v>
      </c>
      <c r="P81" s="7">
        <f ca="1"/>
        <v>729</v>
      </c>
    </row>
    <row r="82" spans="1:16">
      <c r="A82" s="7" t="str">
        <f ca="1"/>
        <v>TRX0041</v>
      </c>
      <c r="B82" s="7">
        <f ca="1"/>
        <v>45432</v>
      </c>
      <c r="C82" s="8" t="str">
        <f ca="1"/>
        <v>CUST021</v>
      </c>
      <c r="D82" s="7" t="str">
        <f ca="1"/>
        <v>Kevin Scott</v>
      </c>
      <c r="E82" s="7" t="str">
        <f ca="1"/>
        <v>P001</v>
      </c>
      <c r="F82" s="7" t="str">
        <f ca="1"/>
        <v>Laptop</v>
      </c>
      <c r="G82" s="7" t="str">
        <f ca="1"/>
        <v>Electronics</v>
      </c>
      <c r="H82" s="7">
        <f ca="1"/>
        <v>1</v>
      </c>
      <c r="I82" s="7">
        <f ca="1"/>
        <v>899.99</v>
      </c>
      <c r="J82" s="7" t="str">
        <f ca="1"/>
        <v>Credit Card</v>
      </c>
      <c r="K82" s="7" t="str">
        <f ca="1"/>
        <v>West</v>
      </c>
      <c r="L82" s="7" t="str">
        <f ca="1"/>
        <v>Premium</v>
      </c>
      <c r="M82" s="7">
        <f ca="1"/>
        <v>44578</v>
      </c>
      <c r="N82" s="7">
        <f ca="1"/>
        <v>899.99</v>
      </c>
      <c r="O82" s="7">
        <f ca="1"/>
        <v>1581</v>
      </c>
      <c r="P82" s="7">
        <f ca="1"/>
        <v>727</v>
      </c>
    </row>
    <row r="83" spans="1:16">
      <c r="A83" s="7" t="str">
        <f ca="1"/>
        <v>TRX0245</v>
      </c>
      <c r="B83" s="7">
        <f ca="1"/>
        <v>45438</v>
      </c>
      <c r="C83" s="8" t="str">
        <f ca="1"/>
        <v>CUST031</v>
      </c>
      <c r="D83" s="7" t="str">
        <f ca="1"/>
        <v>Steven Turner</v>
      </c>
      <c r="E83" s="7" t="str">
        <f ca="1"/>
        <v>P006</v>
      </c>
      <c r="F83" s="7" t="str">
        <f ca="1"/>
        <v>Office Chair</v>
      </c>
      <c r="G83" s="7" t="str">
        <f ca="1"/>
        <v>Furniture</v>
      </c>
      <c r="H83" s="7">
        <f ca="1"/>
        <v>3</v>
      </c>
      <c r="I83" s="7">
        <f ca="1"/>
        <v>199.99</v>
      </c>
      <c r="J83" s="7" t="str">
        <f ca="1"/>
        <v>Credit Card</v>
      </c>
      <c r="K83" s="7" t="str">
        <f ca="1"/>
        <v>North</v>
      </c>
      <c r="L83" s="7" t="str">
        <f ca="1"/>
        <v>Premium</v>
      </c>
      <c r="M83" s="7">
        <f ca="1"/>
        <v>45292</v>
      </c>
      <c r="N83" s="7">
        <f ca="1"/>
        <v>599.97</v>
      </c>
      <c r="O83" s="7">
        <f ca="1"/>
        <v>867</v>
      </c>
      <c r="P83" s="7">
        <f ca="1"/>
        <v>721</v>
      </c>
    </row>
    <row r="84" spans="1:16">
      <c r="A84" s="7" t="str">
        <f ca="1"/>
        <v>TRX0202</v>
      </c>
      <c r="B84" s="7">
        <f ca="1"/>
        <v>45441</v>
      </c>
      <c r="C84" s="8" t="str">
        <f ca="1"/>
        <v>CUST035</v>
      </c>
      <c r="D84" s="7" t="str">
        <f ca="1"/>
        <v>Harry Morgan</v>
      </c>
      <c r="E84" s="7" t="str">
        <f ca="1"/>
        <v>P010</v>
      </c>
      <c r="F84" s="7" t="str">
        <f ca="1"/>
        <v>Keyboard</v>
      </c>
      <c r="G84" s="7" t="str">
        <f ca="1"/>
        <v>Electronics</v>
      </c>
      <c r="H84" s="7">
        <f ca="1"/>
        <v>3</v>
      </c>
      <c r="I84" s="7">
        <f ca="1"/>
        <v>89.99</v>
      </c>
      <c r="J84" s="7" t="str">
        <f ca="1"/>
        <v>PayPal</v>
      </c>
      <c r="K84" s="7" t="str">
        <f ca="1"/>
        <v>Central</v>
      </c>
      <c r="L84" s="7" t="str">
        <f ca="1"/>
        <v>Premium</v>
      </c>
      <c r="M84" s="7">
        <f ca="1"/>
        <v>45120</v>
      </c>
      <c r="N84" s="7">
        <f ca="1"/>
        <v>269.97000000000003</v>
      </c>
      <c r="O84" s="7">
        <f ca="1"/>
        <v>1039</v>
      </c>
      <c r="P84" s="7">
        <f ca="1"/>
        <v>718</v>
      </c>
    </row>
    <row r="85" spans="1:16">
      <c r="A85" s="7" t="str">
        <f ca="1"/>
        <v>TRX0220</v>
      </c>
      <c r="B85" s="7">
        <f ca="1"/>
        <v>45450</v>
      </c>
      <c r="C85" s="8" t="str">
        <f ca="1"/>
        <v>CUST003</v>
      </c>
      <c r="D85" s="7" t="str">
        <f ca="1"/>
        <v>Michael Brown</v>
      </c>
      <c r="E85" s="7" t="str">
        <f ca="1"/>
        <v>P008</v>
      </c>
      <c r="F85" s="7" t="str">
        <f ca="1"/>
        <v>Bookshelf</v>
      </c>
      <c r="G85" s="7" t="str">
        <f ca="1"/>
        <v>Furniture</v>
      </c>
      <c r="H85" s="7">
        <f ca="1"/>
        <v>2</v>
      </c>
      <c r="I85" s="7">
        <f ca="1"/>
        <v>149.99</v>
      </c>
      <c r="J85" s="7" t="str">
        <f ca="1"/>
        <v>Cash</v>
      </c>
      <c r="K85" s="7" t="str">
        <f ca="1"/>
        <v>East</v>
      </c>
      <c r="L85" s="7" t="str">
        <f ca="1"/>
        <v>Premium</v>
      </c>
      <c r="M85" s="7">
        <f ca="1"/>
        <v>44645</v>
      </c>
      <c r="N85" s="7">
        <f ca="1"/>
        <v>299.98</v>
      </c>
      <c r="O85" s="7">
        <f ca="1"/>
        <v>1514</v>
      </c>
      <c r="P85" s="7">
        <f ca="1"/>
        <v>709</v>
      </c>
    </row>
    <row r="86" spans="1:16">
      <c r="A86" s="7" t="str">
        <f ca="1"/>
        <v>TRX0088</v>
      </c>
      <c r="B86" s="7">
        <f ca="1"/>
        <v>45456</v>
      </c>
      <c r="C86" s="8" t="str">
        <f ca="1"/>
        <v>CUST006</v>
      </c>
      <c r="D86" s="7" t="str">
        <f ca="1"/>
        <v>Lisa Anderson</v>
      </c>
      <c r="E86" s="7" t="str">
        <f ca="1"/>
        <v>P010</v>
      </c>
      <c r="F86" s="7" t="str">
        <f ca="1"/>
        <v>Keyboard</v>
      </c>
      <c r="G86" s="7" t="str">
        <f ca="1"/>
        <v>Electronics</v>
      </c>
      <c r="H86" s="7">
        <f ca="1"/>
        <v>5</v>
      </c>
      <c r="I86" s="7">
        <f ca="1"/>
        <v>89.99</v>
      </c>
      <c r="J86" s="7" t="str">
        <f ca="1"/>
        <v>Cash</v>
      </c>
      <c r="K86" s="7" t="str">
        <f ca="1"/>
        <v>Central</v>
      </c>
      <c r="L86" s="7" t="str">
        <f ca="1"/>
        <v>Premium</v>
      </c>
      <c r="M86" s="7">
        <f ca="1"/>
        <v>44579</v>
      </c>
      <c r="N86" s="7">
        <f ca="1"/>
        <v>449.95</v>
      </c>
      <c r="O86" s="7">
        <f ca="1"/>
        <v>1580</v>
      </c>
      <c r="P86" s="7">
        <f ca="1"/>
        <v>703</v>
      </c>
    </row>
    <row r="87" spans="1:16">
      <c r="A87" s="7" t="str">
        <f ca="1"/>
        <v>TRX0115</v>
      </c>
      <c r="B87" s="7">
        <f ca="1"/>
        <v>45459</v>
      </c>
      <c r="C87" s="8" t="str">
        <f ca="1"/>
        <v>CUST012</v>
      </c>
      <c r="D87" s="7" t="str">
        <f ca="1"/>
        <v>Patricia Moore</v>
      </c>
      <c r="E87" s="7" t="str">
        <f ca="1"/>
        <v>P010</v>
      </c>
      <c r="F87" s="7" t="str">
        <f ca="1"/>
        <v>Keyboard</v>
      </c>
      <c r="G87" s="7" t="str">
        <f ca="1"/>
        <v>Electronics</v>
      </c>
      <c r="H87" s="7">
        <f ca="1"/>
        <v>2</v>
      </c>
      <c r="I87" s="7">
        <f ca="1"/>
        <v>89.99</v>
      </c>
      <c r="J87" s="7" t="str">
        <f ca="1"/>
        <v>Credit Card</v>
      </c>
      <c r="K87" s="7" t="str">
        <f ca="1"/>
        <v>South</v>
      </c>
      <c r="L87" s="7" t="str">
        <f ca="1"/>
        <v>Premium</v>
      </c>
      <c r="M87" s="7">
        <f ca="1"/>
        <v>44471</v>
      </c>
      <c r="N87" s="7">
        <f ca="1"/>
        <v>179.98</v>
      </c>
      <c r="O87" s="7">
        <f ca="1"/>
        <v>1688</v>
      </c>
      <c r="P87" s="7">
        <f ca="1"/>
        <v>700</v>
      </c>
    </row>
    <row r="88" spans="1:16">
      <c r="A88" s="7" t="str">
        <f ca="1"/>
        <v>TRX0044</v>
      </c>
      <c r="B88" s="7">
        <f ca="1"/>
        <v>45459</v>
      </c>
      <c r="C88" s="8" t="str">
        <f ca="1"/>
        <v>CUST029</v>
      </c>
      <c r="D88" s="7" t="str">
        <f ca="1"/>
        <v>Edward Mitchell</v>
      </c>
      <c r="E88" s="7" t="str">
        <f ca="1"/>
        <v>P001</v>
      </c>
      <c r="F88" s="7" t="str">
        <f ca="1"/>
        <v>Laptop</v>
      </c>
      <c r="G88" s="7" t="str">
        <f ca="1"/>
        <v>Electronics</v>
      </c>
      <c r="H88" s="7">
        <f ca="1"/>
        <v>5</v>
      </c>
      <c r="I88" s="7">
        <f ca="1"/>
        <v>899.99</v>
      </c>
      <c r="J88" s="7" t="str">
        <f ca="1"/>
        <v>PayPal</v>
      </c>
      <c r="K88" s="7" t="str">
        <f ca="1"/>
        <v>East</v>
      </c>
      <c r="L88" s="7" t="str">
        <f ca="1"/>
        <v>Premium</v>
      </c>
      <c r="M88" s="7">
        <f ca="1"/>
        <v>45278</v>
      </c>
      <c r="N88" s="7">
        <f ca="1"/>
        <v>4499.95</v>
      </c>
      <c r="O88" s="7">
        <f ca="1"/>
        <v>881</v>
      </c>
      <c r="P88" s="7">
        <f ca="1"/>
        <v>700</v>
      </c>
    </row>
    <row r="89" spans="1:16">
      <c r="A89" s="7" t="str">
        <f ca="1"/>
        <v>TRX0061</v>
      </c>
      <c r="B89" s="7">
        <f ca="1"/>
        <v>45460</v>
      </c>
      <c r="C89" s="8" t="str">
        <f ca="1"/>
        <v>CUST028</v>
      </c>
      <c r="D89" s="7" t="str">
        <f ca="1"/>
        <v>Betty Campbell</v>
      </c>
      <c r="E89" s="7" t="str">
        <f ca="1"/>
        <v>P005</v>
      </c>
      <c r="F89" s="7" t="str">
        <f ca="1"/>
        <v>Blender</v>
      </c>
      <c r="G89" s="7" t="str">
        <f ca="1"/>
        <v>Appliances</v>
      </c>
      <c r="H89" s="7">
        <f ca="1"/>
        <v>1</v>
      </c>
      <c r="I89" s="7">
        <f ca="1"/>
        <v>59.99</v>
      </c>
      <c r="J89" s="7" t="str">
        <f ca="1"/>
        <v>Debit Card</v>
      </c>
      <c r="K89" s="7" t="str">
        <f ca="1"/>
        <v>West</v>
      </c>
      <c r="L89" s="7" t="str">
        <f ca="1"/>
        <v>Premium</v>
      </c>
      <c r="M89" s="7">
        <f ca="1"/>
        <v>45190</v>
      </c>
      <c r="N89" s="7">
        <f ca="1"/>
        <v>59.99</v>
      </c>
      <c r="O89" s="7">
        <f ca="1"/>
        <v>969</v>
      </c>
      <c r="P89" s="7">
        <f ca="1"/>
        <v>699</v>
      </c>
    </row>
    <row r="90" spans="1:16">
      <c r="A90" s="7" t="str">
        <f ca="1"/>
        <v>TRX0078</v>
      </c>
      <c r="B90" s="7">
        <f ca="1"/>
        <v>45469</v>
      </c>
      <c r="C90" s="8" t="str">
        <f ca="1"/>
        <v>CUST021</v>
      </c>
      <c r="D90" s="7" t="str">
        <f ca="1"/>
        <v>Kevin Scott</v>
      </c>
      <c r="E90" s="7" t="str">
        <f ca="1"/>
        <v>P004</v>
      </c>
      <c r="F90" s="7" t="str">
        <f ca="1"/>
        <v>Coffee Maker</v>
      </c>
      <c r="G90" s="7" t="str">
        <f ca="1"/>
        <v>Appliances</v>
      </c>
      <c r="H90" s="7">
        <f ca="1"/>
        <v>1</v>
      </c>
      <c r="I90" s="7">
        <f ca="1"/>
        <v>79.989999999999995</v>
      </c>
      <c r="J90" s="7" t="str">
        <f ca="1"/>
        <v>PayPal</v>
      </c>
      <c r="K90" s="7" t="str">
        <f ca="1"/>
        <v>Central</v>
      </c>
      <c r="L90" s="7" t="str">
        <f ca="1"/>
        <v>Premium</v>
      </c>
      <c r="M90" s="7">
        <f ca="1"/>
        <v>45352</v>
      </c>
      <c r="N90" s="7">
        <f ca="1"/>
        <v>79.989999999999995</v>
      </c>
      <c r="O90" s="7">
        <f ca="1"/>
        <v>807</v>
      </c>
      <c r="P90" s="7">
        <f ca="1"/>
        <v>690</v>
      </c>
    </row>
    <row r="91" spans="1:16">
      <c r="A91" s="7" t="str">
        <f ca="1"/>
        <v>TRX0184</v>
      </c>
      <c r="B91" s="7">
        <f ca="1"/>
        <v>45471</v>
      </c>
      <c r="C91" s="8" t="str">
        <f ca="1"/>
        <v>CUST046</v>
      </c>
      <c r="D91" s="7" t="str">
        <f ca="1"/>
        <v>Kathleen Bennett</v>
      </c>
      <c r="E91" s="7" t="str">
        <f ca="1"/>
        <v>P002</v>
      </c>
      <c r="F91" s="7" t="str">
        <f ca="1"/>
        <v>Smartphone</v>
      </c>
      <c r="G91" s="7" t="str">
        <f ca="1"/>
        <v>Electronics</v>
      </c>
      <c r="H91" s="7">
        <f ca="1"/>
        <v>3</v>
      </c>
      <c r="I91" s="7">
        <f ca="1"/>
        <v>699.99</v>
      </c>
      <c r="J91" s="7" t="str">
        <f ca="1"/>
        <v>Credit Card</v>
      </c>
      <c r="K91" s="7" t="str">
        <f ca="1"/>
        <v>East</v>
      </c>
      <c r="L91" s="7" t="str">
        <f ca="1"/>
        <v>Premium</v>
      </c>
      <c r="M91" s="7">
        <f ca="1"/>
        <v>45102</v>
      </c>
      <c r="N91" s="7">
        <f ca="1"/>
        <v>2099.9699999999998</v>
      </c>
      <c r="O91" s="7">
        <f ca="1"/>
        <v>1057</v>
      </c>
      <c r="P91" s="7">
        <f ca="1"/>
        <v>688</v>
      </c>
    </row>
    <row r="92" spans="1:16">
      <c r="A92" s="7" t="str">
        <f ca="1"/>
        <v>TRX0104</v>
      </c>
      <c r="B92" s="7">
        <f ca="1"/>
        <v>45471</v>
      </c>
      <c r="C92" s="8" t="str">
        <f ca="1"/>
        <v>CUST012</v>
      </c>
      <c r="D92" s="7" t="str">
        <f ca="1"/>
        <v>Patricia Moore</v>
      </c>
      <c r="E92" s="7" t="str">
        <f ca="1"/>
        <v>P001</v>
      </c>
      <c r="F92" s="7" t="str">
        <f ca="1"/>
        <v>Laptop</v>
      </c>
      <c r="G92" s="7" t="str">
        <f ca="1"/>
        <v>Electronics</v>
      </c>
      <c r="H92" s="7">
        <f ca="1"/>
        <v>4</v>
      </c>
      <c r="I92" s="7">
        <f ca="1"/>
        <v>899.99</v>
      </c>
      <c r="J92" s="7" t="str">
        <f ca="1"/>
        <v>Credit Card</v>
      </c>
      <c r="K92" s="7" t="str">
        <f ca="1"/>
        <v>East</v>
      </c>
      <c r="L92" s="7" t="str">
        <f ca="1"/>
        <v>Premium</v>
      </c>
      <c r="M92" s="7">
        <f ca="1"/>
        <v>44993</v>
      </c>
      <c r="N92" s="7">
        <f ca="1"/>
        <v>3599.96</v>
      </c>
      <c r="O92" s="7">
        <f ca="1"/>
        <v>1166</v>
      </c>
      <c r="P92" s="7">
        <f ca="1"/>
        <v>688</v>
      </c>
    </row>
    <row r="93" spans="1:16">
      <c r="A93" s="7" t="str">
        <f ca="1"/>
        <v>TRX0096</v>
      </c>
      <c r="B93" s="7">
        <f ca="1"/>
        <v>45474</v>
      </c>
      <c r="C93" s="8" t="str">
        <f ca="1"/>
        <v>CUST002</v>
      </c>
      <c r="D93" s="7" t="str">
        <f ca="1"/>
        <v>Emma Wilson</v>
      </c>
      <c r="E93" s="7" t="str">
        <f ca="1"/>
        <v>P010</v>
      </c>
      <c r="F93" s="7" t="str">
        <f ca="1"/>
        <v>Keyboard</v>
      </c>
      <c r="G93" s="7" t="str">
        <f ca="1"/>
        <v>Electronics</v>
      </c>
      <c r="H93" s="7">
        <f ca="1"/>
        <v>2</v>
      </c>
      <c r="I93" s="7">
        <f ca="1"/>
        <v>89.99</v>
      </c>
      <c r="J93" s="7" t="str">
        <f ca="1"/>
        <v>PayPal</v>
      </c>
      <c r="K93" s="7" t="str">
        <f ca="1"/>
        <v>Central</v>
      </c>
      <c r="L93" s="7" t="str">
        <f ca="1"/>
        <v>Premium</v>
      </c>
      <c r="M93" s="7">
        <f ca="1"/>
        <v>45275</v>
      </c>
      <c r="N93" s="7">
        <f ca="1"/>
        <v>179.98</v>
      </c>
      <c r="O93" s="7">
        <f ca="1"/>
        <v>884</v>
      </c>
      <c r="P93" s="7">
        <f ca="1"/>
        <v>685</v>
      </c>
    </row>
    <row r="94" spans="1:16">
      <c r="A94" s="7" t="str">
        <f ca="1"/>
        <v>TRX0113</v>
      </c>
      <c r="B94" s="7">
        <f ca="1"/>
        <v>45481</v>
      </c>
      <c r="C94" s="8" t="str">
        <f ca="1"/>
        <v>CUST003</v>
      </c>
      <c r="D94" s="7" t="str">
        <f ca="1"/>
        <v>Michael Brown</v>
      </c>
      <c r="E94" s="7" t="str">
        <f ca="1"/>
        <v>P002</v>
      </c>
      <c r="F94" s="7" t="str">
        <f ca="1"/>
        <v>Smartphone</v>
      </c>
      <c r="G94" s="7" t="str">
        <f ca="1"/>
        <v>Electronics</v>
      </c>
      <c r="H94" s="7">
        <f ca="1"/>
        <v>2</v>
      </c>
      <c r="I94" s="7">
        <f ca="1"/>
        <v>699.99</v>
      </c>
      <c r="J94" s="7" t="str">
        <f ca="1"/>
        <v>PayPal</v>
      </c>
      <c r="K94" s="7" t="str">
        <f ca="1"/>
        <v>East</v>
      </c>
      <c r="L94" s="7" t="str">
        <f ca="1"/>
        <v>Premium</v>
      </c>
      <c r="M94" s="7">
        <f ca="1"/>
        <v>45389</v>
      </c>
      <c r="N94" s="7">
        <f ca="1"/>
        <v>1399.98</v>
      </c>
      <c r="O94" s="7">
        <f ca="1"/>
        <v>770</v>
      </c>
      <c r="P94" s="7">
        <f ca="1"/>
        <v>678</v>
      </c>
    </row>
    <row r="95" spans="1:16">
      <c r="A95" s="7" t="str">
        <f ca="1"/>
        <v>TRX0114</v>
      </c>
      <c r="B95" s="7">
        <f ca="1"/>
        <v>45481</v>
      </c>
      <c r="C95" s="8" t="str">
        <f ca="1"/>
        <v>CUST018</v>
      </c>
      <c r="D95" s="7" t="str">
        <f ca="1"/>
        <v>Barbara Young</v>
      </c>
      <c r="E95" s="7" t="str">
        <f ca="1"/>
        <v>P010</v>
      </c>
      <c r="F95" s="7" t="str">
        <f ca="1"/>
        <v>Keyboard</v>
      </c>
      <c r="G95" s="7" t="str">
        <f ca="1"/>
        <v>Electronics</v>
      </c>
      <c r="H95" s="7">
        <f ca="1"/>
        <v>5</v>
      </c>
      <c r="I95" s="7">
        <f ca="1"/>
        <v>89.99</v>
      </c>
      <c r="J95" s="7" t="str">
        <f ca="1"/>
        <v>Debit Card</v>
      </c>
      <c r="K95" s="7" t="str">
        <f ca="1"/>
        <v>North</v>
      </c>
      <c r="L95" s="7" t="str">
        <f ca="1"/>
        <v>Premium</v>
      </c>
      <c r="M95" s="7">
        <f ca="1"/>
        <v>45161</v>
      </c>
      <c r="N95" s="7">
        <f ca="1"/>
        <v>449.95</v>
      </c>
      <c r="O95" s="7">
        <f ca="1"/>
        <v>998</v>
      </c>
      <c r="P95" s="7">
        <f ca="1"/>
        <v>678</v>
      </c>
    </row>
    <row r="96" spans="1:16">
      <c r="A96" s="7" t="str">
        <f ca="1"/>
        <v>TRX0141</v>
      </c>
      <c r="B96" s="7">
        <f ca="1"/>
        <v>45484</v>
      </c>
      <c r="C96" s="8" t="str">
        <f ca="1"/>
        <v>CUST033</v>
      </c>
      <c r="D96" s="7" t="str">
        <f ca="1"/>
        <v>Frank Torres</v>
      </c>
      <c r="E96" s="7" t="str">
        <f ca="1"/>
        <v>P007</v>
      </c>
      <c r="F96" s="7" t="str">
        <f ca="1"/>
        <v>Desk</v>
      </c>
      <c r="G96" s="7" t="str">
        <f ca="1"/>
        <v>Furniture</v>
      </c>
      <c r="H96" s="7">
        <f ca="1"/>
        <v>1</v>
      </c>
      <c r="I96" s="7">
        <f ca="1"/>
        <v>299.99</v>
      </c>
      <c r="J96" s="7" t="str">
        <f ca="1"/>
        <v>Credit Card</v>
      </c>
      <c r="K96" s="7" t="str">
        <f ca="1"/>
        <v>North</v>
      </c>
      <c r="L96" s="7" t="str">
        <f ca="1"/>
        <v>Premium</v>
      </c>
      <c r="M96" s="7">
        <f ca="1"/>
        <v>44891</v>
      </c>
      <c r="N96" s="7">
        <f ca="1"/>
        <v>299.99</v>
      </c>
      <c r="O96" s="7">
        <f ca="1"/>
        <v>1268</v>
      </c>
      <c r="P96" s="7">
        <f ca="1"/>
        <v>675</v>
      </c>
    </row>
    <row r="97" spans="1:16">
      <c r="A97" s="7" t="str">
        <f ca="1"/>
        <v>TRX0216</v>
      </c>
      <c r="B97" s="7">
        <f ca="1"/>
        <v>45490</v>
      </c>
      <c r="C97" s="8" t="str">
        <f ca="1"/>
        <v>CUST041</v>
      </c>
      <c r="D97" s="7" t="str">
        <f ca="1"/>
        <v>Peter Richardson</v>
      </c>
      <c r="E97" s="7" t="str">
        <f ca="1"/>
        <v>P008</v>
      </c>
      <c r="F97" s="7" t="str">
        <f ca="1"/>
        <v>Bookshelf</v>
      </c>
      <c r="G97" s="7" t="str">
        <f ca="1"/>
        <v>Furniture</v>
      </c>
      <c r="H97" s="7">
        <f ca="1"/>
        <v>3</v>
      </c>
      <c r="I97" s="7">
        <f ca="1"/>
        <v>149.99</v>
      </c>
      <c r="J97" s="7" t="str">
        <f ca="1"/>
        <v>Cash</v>
      </c>
      <c r="K97" s="7" t="str">
        <f ca="1"/>
        <v>Central</v>
      </c>
      <c r="L97" s="7" t="str">
        <f ca="1"/>
        <v>Premium</v>
      </c>
      <c r="M97" s="7">
        <f ca="1"/>
        <v>45199</v>
      </c>
      <c r="N97" s="7">
        <f ca="1"/>
        <v>449.97</v>
      </c>
      <c r="O97" s="7">
        <f ca="1"/>
        <v>960</v>
      </c>
      <c r="P97" s="7">
        <f ca="1"/>
        <v>669</v>
      </c>
    </row>
    <row r="98" spans="1:16">
      <c r="A98" s="7" t="str">
        <f ca="1"/>
        <v>TRX0131</v>
      </c>
      <c r="B98" s="7">
        <f ca="1"/>
        <v>45491</v>
      </c>
      <c r="C98" s="8" t="str">
        <f ca="1"/>
        <v>CUST026</v>
      </c>
      <c r="D98" s="7" t="str">
        <f ca="1"/>
        <v>Karen Hill</v>
      </c>
      <c r="E98" s="7" t="str">
        <f ca="1"/>
        <v>P006</v>
      </c>
      <c r="F98" s="7" t="str">
        <f ca="1"/>
        <v>Office Chair</v>
      </c>
      <c r="G98" s="7" t="str">
        <f ca="1"/>
        <v>Furniture</v>
      </c>
      <c r="H98" s="7">
        <f ca="1"/>
        <v>3</v>
      </c>
      <c r="I98" s="7">
        <f ca="1"/>
        <v>199.99</v>
      </c>
      <c r="J98" s="7" t="str">
        <f ca="1"/>
        <v>Cash</v>
      </c>
      <c r="K98" s="7" t="str">
        <f ca="1"/>
        <v>North</v>
      </c>
      <c r="L98" s="7" t="str">
        <f ca="1"/>
        <v>Premium</v>
      </c>
      <c r="M98" s="7">
        <f ca="1"/>
        <v>45254</v>
      </c>
      <c r="N98" s="7">
        <f ca="1"/>
        <v>599.97</v>
      </c>
      <c r="O98" s="7">
        <f ca="1"/>
        <v>905</v>
      </c>
      <c r="P98" s="7">
        <f ca="1"/>
        <v>668</v>
      </c>
    </row>
    <row r="99" spans="1:16">
      <c r="A99" s="7" t="str">
        <f ca="1"/>
        <v>TRX0080</v>
      </c>
      <c r="B99" s="7">
        <f ca="1"/>
        <v>45500</v>
      </c>
      <c r="C99" s="8" t="str">
        <f ca="1"/>
        <v>CUST018</v>
      </c>
      <c r="D99" s="7" t="str">
        <f ca="1"/>
        <v>Barbara Young</v>
      </c>
      <c r="E99" s="7" t="str">
        <f ca="1"/>
        <v>P009</v>
      </c>
      <c r="F99" s="7" t="str">
        <f ca="1"/>
        <v>Monitor</v>
      </c>
      <c r="G99" s="7" t="str">
        <f ca="1"/>
        <v>Electronics</v>
      </c>
      <c r="H99" s="7">
        <f ca="1"/>
        <v>2</v>
      </c>
      <c r="I99" s="7">
        <f ca="1"/>
        <v>249.99</v>
      </c>
      <c r="J99" s="7" t="str">
        <f ca="1"/>
        <v>Cash</v>
      </c>
      <c r="K99" s="7" t="str">
        <f ca="1"/>
        <v>North</v>
      </c>
      <c r="L99" s="7" t="str">
        <f ca="1"/>
        <v>Premium</v>
      </c>
      <c r="M99" s="7">
        <f ca="1"/>
        <v>45164</v>
      </c>
      <c r="N99" s="7">
        <f ca="1"/>
        <v>499.98</v>
      </c>
      <c r="O99" s="7">
        <f ca="1"/>
        <v>995</v>
      </c>
      <c r="P99" s="7">
        <f ca="1"/>
        <v>659</v>
      </c>
    </row>
    <row r="100" spans="1:16">
      <c r="A100" s="7" t="str">
        <f ca="1"/>
        <v>TRX0217</v>
      </c>
      <c r="B100" s="7">
        <f ca="1"/>
        <v>45503</v>
      </c>
      <c r="C100" s="8" t="str">
        <f ca="1"/>
        <v>CUST025</v>
      </c>
      <c r="D100" s="7" t="str">
        <f ca="1"/>
        <v>Mark Carter</v>
      </c>
      <c r="E100" s="7" t="str">
        <f ca="1"/>
        <v>P002</v>
      </c>
      <c r="F100" s="7" t="str">
        <f ca="1"/>
        <v>Smartphone</v>
      </c>
      <c r="G100" s="7" t="str">
        <f ca="1"/>
        <v>Electronics</v>
      </c>
      <c r="H100" s="7">
        <f ca="1"/>
        <v>2</v>
      </c>
      <c r="I100" s="7">
        <f ca="1"/>
        <v>699.99</v>
      </c>
      <c r="J100" s="7" t="str">
        <f ca="1"/>
        <v>Credit Card</v>
      </c>
      <c r="K100" s="7" t="str">
        <f ca="1"/>
        <v>North</v>
      </c>
      <c r="L100" s="7" t="str">
        <f ca="1"/>
        <v>Premium</v>
      </c>
      <c r="M100" s="7">
        <f ca="1"/>
        <v>44999</v>
      </c>
      <c r="N100" s="7">
        <f ca="1"/>
        <v>1399.98</v>
      </c>
      <c r="O100" s="7">
        <f ca="1"/>
        <v>1160</v>
      </c>
      <c r="P100" s="7">
        <f ca="1"/>
        <v>656</v>
      </c>
    </row>
    <row r="101" spans="1:16">
      <c r="A101" s="7" t="str">
        <f ca="1"/>
        <v>TRX0020</v>
      </c>
      <c r="B101" s="7">
        <f ca="1"/>
        <v>45517</v>
      </c>
      <c r="C101" s="8" t="str">
        <f ca="1"/>
        <v>CUST007</v>
      </c>
      <c r="D101" s="7" t="str">
        <f ca="1"/>
        <v>David Martinez</v>
      </c>
      <c r="E101" s="7" t="str">
        <f ca="1"/>
        <v>P003</v>
      </c>
      <c r="F101" s="7" t="str">
        <f ca="1"/>
        <v>Headphones</v>
      </c>
      <c r="G101" s="7" t="str">
        <f ca="1"/>
        <v>Electronics</v>
      </c>
      <c r="H101" s="7">
        <f ca="1"/>
        <v>4</v>
      </c>
      <c r="I101" s="7">
        <f ca="1"/>
        <v>149.99</v>
      </c>
      <c r="J101" s="7" t="str">
        <f ca="1"/>
        <v>Debit Card</v>
      </c>
      <c r="K101" s="7" t="str">
        <f ca="1"/>
        <v>South</v>
      </c>
      <c r="L101" s="7" t="str">
        <f ca="1"/>
        <v>Premium</v>
      </c>
      <c r="M101" s="7">
        <f ca="1"/>
        <v>44820</v>
      </c>
      <c r="N101" s="7">
        <f ca="1"/>
        <v>599.96</v>
      </c>
      <c r="O101" s="7">
        <f ca="1"/>
        <v>1339</v>
      </c>
      <c r="P101" s="7">
        <f ca="1"/>
        <v>642</v>
      </c>
    </row>
    <row r="102" spans="1:16">
      <c r="A102" s="7" t="str">
        <f ca="1"/>
        <v>TRX0075</v>
      </c>
      <c r="B102" s="7">
        <f ca="1"/>
        <v>45517</v>
      </c>
      <c r="C102" s="8" t="str">
        <f ca="1"/>
        <v>CUST020</v>
      </c>
      <c r="D102" s="7" t="str">
        <f ca="1"/>
        <v>Margaret Wright</v>
      </c>
      <c r="E102" s="7" t="str">
        <f ca="1"/>
        <v>P009</v>
      </c>
      <c r="F102" s="7" t="str">
        <f ca="1"/>
        <v>Monitor</v>
      </c>
      <c r="G102" s="7" t="str">
        <f ca="1"/>
        <v>Electronics</v>
      </c>
      <c r="H102" s="7">
        <f ca="1"/>
        <v>5</v>
      </c>
      <c r="I102" s="7">
        <f ca="1"/>
        <v>249.99</v>
      </c>
      <c r="J102" s="7" t="str">
        <f ca="1"/>
        <v>PayPal</v>
      </c>
      <c r="K102" s="7" t="str">
        <f ca="1"/>
        <v>East</v>
      </c>
      <c r="L102" s="7" t="str">
        <f ca="1"/>
        <v>Premium</v>
      </c>
      <c r="M102" s="7">
        <f ca="1"/>
        <v>44782</v>
      </c>
      <c r="N102" s="7">
        <f ca="1"/>
        <v>1249.95</v>
      </c>
      <c r="O102" s="7">
        <f ca="1"/>
        <v>1377</v>
      </c>
      <c r="P102" s="7">
        <f ca="1"/>
        <v>642</v>
      </c>
    </row>
    <row r="103" spans="1:16">
      <c r="A103" s="7" t="str">
        <f ca="1"/>
        <v>TRX0098</v>
      </c>
      <c r="B103" s="7">
        <f ca="1"/>
        <v>45517</v>
      </c>
      <c r="C103" s="8" t="str">
        <f ca="1"/>
        <v>CUST026</v>
      </c>
      <c r="D103" s="7" t="str">
        <f ca="1"/>
        <v>Karen Hill</v>
      </c>
      <c r="E103" s="7" t="str">
        <f ca="1"/>
        <v>P009</v>
      </c>
      <c r="F103" s="7" t="str">
        <f ca="1"/>
        <v>Monitor</v>
      </c>
      <c r="G103" s="7" t="str">
        <f ca="1"/>
        <v>Electronics</v>
      </c>
      <c r="H103" s="7">
        <f ca="1"/>
        <v>3</v>
      </c>
      <c r="I103" s="7">
        <f ca="1"/>
        <v>249.99</v>
      </c>
      <c r="J103" s="7" t="str">
        <f ca="1"/>
        <v>PayPal</v>
      </c>
      <c r="K103" s="7" t="str">
        <f ca="1"/>
        <v>North</v>
      </c>
      <c r="L103" s="7" t="str">
        <f ca="1"/>
        <v>Premium</v>
      </c>
      <c r="M103" s="7">
        <f ca="1"/>
        <v>44465</v>
      </c>
      <c r="N103" s="7">
        <f ca="1"/>
        <v>749.97</v>
      </c>
      <c r="O103" s="7">
        <f ca="1"/>
        <v>1694</v>
      </c>
      <c r="P103" s="7">
        <f ca="1"/>
        <v>642</v>
      </c>
    </row>
    <row r="104" spans="1:16">
      <c r="A104" s="7" t="str">
        <f ca="1"/>
        <v>TRX0027</v>
      </c>
      <c r="B104" s="7">
        <f ca="1"/>
        <v>45519</v>
      </c>
      <c r="C104" s="8" t="str">
        <f ca="1"/>
        <v>CUST028</v>
      </c>
      <c r="D104" s="7" t="str">
        <f ca="1"/>
        <v>Betty Campbell</v>
      </c>
      <c r="E104" s="7" t="str">
        <f ca="1"/>
        <v>P006</v>
      </c>
      <c r="F104" s="7" t="str">
        <f ca="1"/>
        <v>Office Chair</v>
      </c>
      <c r="G104" s="7" t="str">
        <f ca="1"/>
        <v>Furniture</v>
      </c>
      <c r="H104" s="7">
        <f ca="1"/>
        <v>5</v>
      </c>
      <c r="I104" s="7">
        <f ca="1"/>
        <v>199.99</v>
      </c>
      <c r="J104" s="7" t="str">
        <f ca="1"/>
        <v>Cash</v>
      </c>
      <c r="K104" s="7" t="str">
        <f ca="1"/>
        <v>North</v>
      </c>
      <c r="L104" s="7" t="str">
        <f ca="1"/>
        <v>Premium</v>
      </c>
      <c r="M104" s="7">
        <f ca="1"/>
        <v>44991</v>
      </c>
      <c r="N104" s="7">
        <f ca="1"/>
        <v>999.95</v>
      </c>
      <c r="O104" s="7">
        <f ca="1"/>
        <v>1168</v>
      </c>
      <c r="P104" s="7">
        <f ca="1"/>
        <v>640</v>
      </c>
    </row>
    <row r="105" spans="1:16">
      <c r="A105" s="7" t="str">
        <f ca="1"/>
        <v>TRX0140</v>
      </c>
      <c r="B105" s="7">
        <f ca="1"/>
        <v>45522</v>
      </c>
      <c r="C105" s="8" t="str">
        <f ca="1"/>
        <v>CUST025</v>
      </c>
      <c r="D105" s="7" t="str">
        <f ca="1"/>
        <v>Mark Carter</v>
      </c>
      <c r="E105" s="7" t="str">
        <f ca="1"/>
        <v>P010</v>
      </c>
      <c r="F105" s="7" t="str">
        <f ca="1"/>
        <v>Keyboard</v>
      </c>
      <c r="G105" s="7" t="str">
        <f ca="1"/>
        <v>Electronics</v>
      </c>
      <c r="H105" s="7">
        <f ca="1"/>
        <v>2</v>
      </c>
      <c r="I105" s="7">
        <f ca="1"/>
        <v>89.99</v>
      </c>
      <c r="J105" s="7" t="str">
        <f ca="1"/>
        <v>Cash</v>
      </c>
      <c r="K105" s="7" t="str">
        <f ca="1"/>
        <v>East</v>
      </c>
      <c r="L105" s="7" t="str">
        <f ca="1"/>
        <v>Premium</v>
      </c>
      <c r="M105" s="7">
        <f ca="1"/>
        <v>44972</v>
      </c>
      <c r="N105" s="7">
        <f ca="1"/>
        <v>179.98</v>
      </c>
      <c r="O105" s="7">
        <f ca="1"/>
        <v>1187</v>
      </c>
      <c r="P105" s="7">
        <f ca="1"/>
        <v>637</v>
      </c>
    </row>
    <row r="106" spans="1:16">
      <c r="A106" s="7" t="str">
        <f ca="1"/>
        <v>TRX0001</v>
      </c>
      <c r="B106" s="7">
        <f ca="1"/>
        <v>45528</v>
      </c>
      <c r="C106" s="8" t="str">
        <f ca="1"/>
        <v>CUST039</v>
      </c>
      <c r="D106" s="7" t="str">
        <f ca="1"/>
        <v>Lawrence Reed</v>
      </c>
      <c r="E106" s="7" t="str">
        <f ca="1"/>
        <v>P004</v>
      </c>
      <c r="F106" s="7" t="str">
        <f ca="1"/>
        <v>Coffee Maker</v>
      </c>
      <c r="G106" s="7" t="str">
        <f ca="1"/>
        <v>Appliances</v>
      </c>
      <c r="H106" s="7">
        <f ca="1"/>
        <v>3</v>
      </c>
      <c r="I106" s="7">
        <f ca="1"/>
        <v>79.989999999999995</v>
      </c>
      <c r="J106" s="7" t="str">
        <f ca="1"/>
        <v>Cash</v>
      </c>
      <c r="K106" s="7" t="str">
        <f ca="1"/>
        <v>Central</v>
      </c>
      <c r="L106" s="7" t="str">
        <f ca="1"/>
        <v>Premium</v>
      </c>
      <c r="M106" s="7">
        <f ca="1"/>
        <v>44779</v>
      </c>
      <c r="N106" s="7">
        <f ca="1"/>
        <v>239.97</v>
      </c>
      <c r="O106" s="7">
        <f ca="1"/>
        <v>1380</v>
      </c>
      <c r="P106" s="7">
        <f ca="1"/>
        <v>631</v>
      </c>
    </row>
    <row r="107" spans="1:16">
      <c r="A107" s="7" t="str">
        <f ca="1"/>
        <v>TRX0058</v>
      </c>
      <c r="B107" s="7">
        <f ca="1"/>
        <v>45532</v>
      </c>
      <c r="C107" s="8" t="str">
        <f ca="1"/>
        <v>CUST047</v>
      </c>
      <c r="D107" s="7" t="str">
        <f ca="1"/>
        <v>Gerald Murphy</v>
      </c>
      <c r="E107" s="7" t="str">
        <f ca="1"/>
        <v>P002</v>
      </c>
      <c r="F107" s="7" t="str">
        <f ca="1"/>
        <v>Smartphone</v>
      </c>
      <c r="G107" s="7" t="str">
        <f ca="1"/>
        <v>Electronics</v>
      </c>
      <c r="H107" s="7">
        <f ca="1"/>
        <v>1</v>
      </c>
      <c r="I107" s="7">
        <f ca="1"/>
        <v>699.99</v>
      </c>
      <c r="J107" s="7" t="str">
        <f ca="1"/>
        <v>Cash</v>
      </c>
      <c r="K107" s="7" t="str">
        <f ca="1"/>
        <v>Central</v>
      </c>
      <c r="L107" s="7" t="str">
        <f ca="1"/>
        <v>Premium</v>
      </c>
      <c r="M107" s="7">
        <f ca="1"/>
        <v>44497</v>
      </c>
      <c r="N107" s="7">
        <f ca="1"/>
        <v>699.99</v>
      </c>
      <c r="O107" s="7">
        <f ca="1"/>
        <v>1662</v>
      </c>
      <c r="P107" s="7">
        <f ca="1"/>
        <v>627</v>
      </c>
    </row>
    <row r="108" spans="1:16">
      <c r="A108" s="7" t="str">
        <f ca="1"/>
        <v>TRX0170</v>
      </c>
      <c r="B108" s="7">
        <f ca="1"/>
        <v>45532</v>
      </c>
      <c r="C108" s="8" t="str">
        <f ca="1"/>
        <v>CUST034</v>
      </c>
      <c r="D108" s="7" t="str">
        <f ca="1"/>
        <v>Carol Evans</v>
      </c>
      <c r="E108" s="7" t="str">
        <f ca="1"/>
        <v>P003</v>
      </c>
      <c r="F108" s="7" t="str">
        <f ca="1"/>
        <v>Headphones</v>
      </c>
      <c r="G108" s="7" t="str">
        <f ca="1"/>
        <v>Electronics</v>
      </c>
      <c r="H108" s="7">
        <f ca="1"/>
        <v>3</v>
      </c>
      <c r="I108" s="7">
        <f ca="1"/>
        <v>149.99</v>
      </c>
      <c r="J108" s="7" t="str">
        <f ca="1"/>
        <v>Cash</v>
      </c>
      <c r="K108" s="7" t="str">
        <f ca="1"/>
        <v>West</v>
      </c>
      <c r="L108" s="7" t="str">
        <f ca="1"/>
        <v>Premium</v>
      </c>
      <c r="M108" s="7">
        <f ca="1"/>
        <v>45212</v>
      </c>
      <c r="N108" s="7">
        <f ca="1"/>
        <v>449.97</v>
      </c>
      <c r="O108" s="7">
        <f ca="1"/>
        <v>947</v>
      </c>
      <c r="P108" s="7">
        <f ca="1"/>
        <v>627</v>
      </c>
    </row>
    <row r="109" spans="1:16">
      <c r="A109" s="7" t="str">
        <f ca="1"/>
        <v>TRX0248</v>
      </c>
      <c r="B109" s="7">
        <f ca="1"/>
        <v>45534</v>
      </c>
      <c r="C109" s="8" t="str">
        <f ca="1"/>
        <v>CUST032</v>
      </c>
      <c r="D109" s="7" t="str">
        <f ca="1"/>
        <v>Sandra Phillips</v>
      </c>
      <c r="E109" s="7" t="str">
        <f ca="1"/>
        <v>P002</v>
      </c>
      <c r="F109" s="7" t="str">
        <f ca="1"/>
        <v>Smartphone</v>
      </c>
      <c r="G109" s="7" t="str">
        <f ca="1"/>
        <v>Electronics</v>
      </c>
      <c r="H109" s="7">
        <f ca="1"/>
        <v>2</v>
      </c>
      <c r="I109" s="7">
        <f ca="1"/>
        <v>699.99</v>
      </c>
      <c r="J109" s="7" t="str">
        <f ca="1"/>
        <v>Credit Card</v>
      </c>
      <c r="K109" s="7" t="str">
        <f ca="1"/>
        <v>North</v>
      </c>
      <c r="L109" s="7" t="str">
        <f ca="1"/>
        <v>Premium</v>
      </c>
      <c r="M109" s="7">
        <f ca="1"/>
        <v>44421</v>
      </c>
      <c r="N109" s="7">
        <f ca="1"/>
        <v>1399.98</v>
      </c>
      <c r="O109" s="7">
        <f ca="1"/>
        <v>1738</v>
      </c>
      <c r="P109" s="7">
        <f ca="1"/>
        <v>625</v>
      </c>
    </row>
    <row r="110" spans="1:16">
      <c r="A110" s="7" t="str">
        <f ca="1"/>
        <v>TRX0099</v>
      </c>
      <c r="B110" s="7">
        <f ca="1"/>
        <v>45537</v>
      </c>
      <c r="C110" s="8" t="str">
        <f ca="1"/>
        <v>CUST034</v>
      </c>
      <c r="D110" s="7" t="str">
        <f ca="1"/>
        <v>Carol Evans</v>
      </c>
      <c r="E110" s="7" t="str">
        <f ca="1"/>
        <v>P009</v>
      </c>
      <c r="F110" s="7" t="str">
        <f ca="1"/>
        <v>Monitor</v>
      </c>
      <c r="G110" s="7" t="str">
        <f ca="1"/>
        <v>Electronics</v>
      </c>
      <c r="H110" s="7">
        <f ca="1"/>
        <v>1</v>
      </c>
      <c r="I110" s="7">
        <f ca="1"/>
        <v>249.99</v>
      </c>
      <c r="J110" s="7" t="str">
        <f ca="1"/>
        <v>Credit Card</v>
      </c>
      <c r="K110" s="7" t="str">
        <f ca="1"/>
        <v>West</v>
      </c>
      <c r="L110" s="7" t="str">
        <f ca="1"/>
        <v>Premium</v>
      </c>
      <c r="M110" s="7">
        <f ca="1"/>
        <v>44685</v>
      </c>
      <c r="N110" s="7">
        <f ca="1"/>
        <v>249.99</v>
      </c>
      <c r="O110" s="7">
        <f ca="1"/>
        <v>1474</v>
      </c>
      <c r="P110" s="7">
        <f ca="1"/>
        <v>622</v>
      </c>
    </row>
    <row r="111" spans="1:16">
      <c r="A111" s="7" t="str">
        <f ca="1"/>
        <v>TRX0074</v>
      </c>
      <c r="B111" s="7">
        <f ca="1"/>
        <v>45537</v>
      </c>
      <c r="C111" s="8" t="str">
        <f ca="1"/>
        <v>CUST023</v>
      </c>
      <c r="D111" s="7" t="str">
        <f ca="1"/>
        <v>Paul Baker</v>
      </c>
      <c r="E111" s="7" t="str">
        <f ca="1"/>
        <v>P009</v>
      </c>
      <c r="F111" s="7" t="str">
        <f ca="1"/>
        <v>Monitor</v>
      </c>
      <c r="G111" s="7" t="str">
        <f ca="1"/>
        <v>Electronics</v>
      </c>
      <c r="H111" s="7">
        <f ca="1"/>
        <v>1</v>
      </c>
      <c r="I111" s="7">
        <f ca="1"/>
        <v>249.99</v>
      </c>
      <c r="J111" s="7" t="str">
        <f ca="1"/>
        <v>Debit Card</v>
      </c>
      <c r="K111" s="7" t="str">
        <f ca="1"/>
        <v>North</v>
      </c>
      <c r="L111" s="7" t="str">
        <f ca="1"/>
        <v>Premium</v>
      </c>
      <c r="M111" s="7">
        <f ca="1"/>
        <v>45332</v>
      </c>
      <c r="N111" s="7">
        <f ca="1"/>
        <v>249.99</v>
      </c>
      <c r="O111" s="7">
        <f ca="1"/>
        <v>827</v>
      </c>
      <c r="P111" s="7">
        <f ca="1"/>
        <v>622</v>
      </c>
    </row>
    <row r="112" spans="1:16">
      <c r="A112" s="7" t="str">
        <f ca="1"/>
        <v>TRX0225</v>
      </c>
      <c r="B112" s="7">
        <f ca="1"/>
        <v>45538</v>
      </c>
      <c r="C112" s="8" t="str">
        <f ca="1"/>
        <v>CUST039</v>
      </c>
      <c r="D112" s="7" t="str">
        <f ca="1"/>
        <v>Lawrence Reed</v>
      </c>
      <c r="E112" s="7" t="str">
        <f ca="1"/>
        <v>P002</v>
      </c>
      <c r="F112" s="7" t="str">
        <f ca="1"/>
        <v>Smartphone</v>
      </c>
      <c r="G112" s="7" t="str">
        <f ca="1"/>
        <v>Electronics</v>
      </c>
      <c r="H112" s="7">
        <f ca="1"/>
        <v>2</v>
      </c>
      <c r="I112" s="7">
        <f ca="1"/>
        <v>699.99</v>
      </c>
      <c r="J112" s="7" t="str">
        <f ca="1"/>
        <v>Debit Card</v>
      </c>
      <c r="K112" s="7" t="str">
        <f ca="1"/>
        <v>Central</v>
      </c>
      <c r="L112" s="7" t="str">
        <f ca="1"/>
        <v>Premium</v>
      </c>
      <c r="M112" s="7">
        <f ca="1"/>
        <v>44870</v>
      </c>
      <c r="N112" s="7">
        <f ca="1"/>
        <v>1399.98</v>
      </c>
      <c r="O112" s="7">
        <f ca="1"/>
        <v>1289</v>
      </c>
      <c r="P112" s="7">
        <f ca="1"/>
        <v>621</v>
      </c>
    </row>
    <row r="113" spans="1:16">
      <c r="A113" s="7" t="str">
        <f ca="1"/>
        <v>TRX0100</v>
      </c>
      <c r="B113" s="7">
        <f ca="1"/>
        <v>45541</v>
      </c>
      <c r="C113" s="8" t="str">
        <f ca="1"/>
        <v>CUST031</v>
      </c>
      <c r="D113" s="7" t="str">
        <f ca="1"/>
        <v>Steven Turner</v>
      </c>
      <c r="E113" s="7" t="str">
        <f ca="1"/>
        <v>P005</v>
      </c>
      <c r="F113" s="7" t="str">
        <f ca="1"/>
        <v>Blender</v>
      </c>
      <c r="G113" s="7" t="str">
        <f ca="1"/>
        <v>Appliances</v>
      </c>
      <c r="H113" s="7">
        <f ca="1"/>
        <v>3</v>
      </c>
      <c r="I113" s="7">
        <f ca="1"/>
        <v>59.99</v>
      </c>
      <c r="J113" s="7" t="str">
        <f ca="1"/>
        <v>Credit Card</v>
      </c>
      <c r="K113" s="7" t="str">
        <f ca="1"/>
        <v>Central</v>
      </c>
      <c r="L113" s="7" t="str">
        <f ca="1"/>
        <v>Premium</v>
      </c>
      <c r="M113" s="7">
        <f ca="1"/>
        <v>44717</v>
      </c>
      <c r="N113" s="7">
        <f ca="1"/>
        <v>179.97</v>
      </c>
      <c r="O113" s="7">
        <f ca="1"/>
        <v>1442</v>
      </c>
      <c r="P113" s="7">
        <f ca="1"/>
        <v>618</v>
      </c>
    </row>
    <row r="114" spans="1:16">
      <c r="A114" s="7" t="str">
        <f ca="1"/>
        <v>TRX0108</v>
      </c>
      <c r="B114" s="7">
        <f ca="1"/>
        <v>45547</v>
      </c>
      <c r="C114" s="8" t="str">
        <f ca="1"/>
        <v>CUST024</v>
      </c>
      <c r="D114" s="7" t="str">
        <f ca="1"/>
        <v>Dorothy Nelson</v>
      </c>
      <c r="E114" s="7" t="str">
        <f ca="1"/>
        <v>P007</v>
      </c>
      <c r="F114" s="7" t="str">
        <f ca="1"/>
        <v>Desk</v>
      </c>
      <c r="G114" s="7" t="str">
        <f ca="1"/>
        <v>Furniture</v>
      </c>
      <c r="H114" s="7">
        <f ca="1"/>
        <v>3</v>
      </c>
      <c r="I114" s="7">
        <f ca="1"/>
        <v>299.99</v>
      </c>
      <c r="J114" s="7" t="str">
        <f ca="1"/>
        <v>Credit Card</v>
      </c>
      <c r="K114" s="7" t="str">
        <f ca="1"/>
        <v>Central</v>
      </c>
      <c r="L114" s="7" t="str">
        <f ca="1"/>
        <v>Premium</v>
      </c>
      <c r="M114" s="7">
        <f ca="1"/>
        <v>44494</v>
      </c>
      <c r="N114" s="7">
        <f ca="1"/>
        <v>899.97</v>
      </c>
      <c r="O114" s="7">
        <f ca="1"/>
        <v>1665</v>
      </c>
      <c r="P114" s="7">
        <f ca="1"/>
        <v>612</v>
      </c>
    </row>
    <row r="115" spans="1:16">
      <c r="A115" s="7" t="str">
        <f ca="1"/>
        <v>TRX0211</v>
      </c>
      <c r="B115" s="7">
        <f ca="1"/>
        <v>45548</v>
      </c>
      <c r="C115" s="8" t="str">
        <f ca="1"/>
        <v>CUST046</v>
      </c>
      <c r="D115" s="7" t="str">
        <f ca="1"/>
        <v>Kathleen Bennett</v>
      </c>
      <c r="E115" s="7" t="str">
        <f ca="1"/>
        <v>P010</v>
      </c>
      <c r="F115" s="7" t="str">
        <f ca="1"/>
        <v>Keyboard</v>
      </c>
      <c r="G115" s="7" t="str">
        <f ca="1"/>
        <v>Electronics</v>
      </c>
      <c r="H115" s="7">
        <f ca="1"/>
        <v>2</v>
      </c>
      <c r="I115" s="7">
        <f ca="1"/>
        <v>89.99</v>
      </c>
      <c r="J115" s="7" t="str">
        <f ca="1"/>
        <v>Credit Card</v>
      </c>
      <c r="K115" s="7" t="str">
        <f ca="1"/>
        <v>South</v>
      </c>
      <c r="L115" s="7" t="str">
        <f ca="1"/>
        <v>Premium</v>
      </c>
      <c r="M115" s="7">
        <f ca="1"/>
        <v>44641</v>
      </c>
      <c r="N115" s="7">
        <f ca="1"/>
        <v>179.98</v>
      </c>
      <c r="O115" s="7">
        <f ca="1"/>
        <v>1518</v>
      </c>
      <c r="P115" s="7">
        <f ca="1"/>
        <v>611</v>
      </c>
    </row>
    <row r="116" spans="1:16">
      <c r="A116" s="7" t="str">
        <f ca="1"/>
        <v>TRX0077</v>
      </c>
      <c r="B116" s="7">
        <f ca="1"/>
        <v>45554</v>
      </c>
      <c r="C116" s="8" t="str">
        <f ca="1"/>
        <v>CUST019</v>
      </c>
      <c r="D116" s="7" t="str">
        <f ca="1"/>
        <v>Daniel King</v>
      </c>
      <c r="E116" s="7" t="str">
        <f ca="1"/>
        <v>P010</v>
      </c>
      <c r="F116" s="7" t="str">
        <f ca="1"/>
        <v>Keyboard</v>
      </c>
      <c r="G116" s="7" t="str">
        <f ca="1"/>
        <v>Electronics</v>
      </c>
      <c r="H116" s="7">
        <f ca="1"/>
        <v>5</v>
      </c>
      <c r="I116" s="7">
        <f ca="1"/>
        <v>89.99</v>
      </c>
      <c r="J116" s="7" t="str">
        <f ca="1"/>
        <v>Credit Card</v>
      </c>
      <c r="K116" s="7" t="str">
        <f ca="1"/>
        <v>East</v>
      </c>
      <c r="L116" s="7" t="str">
        <f ca="1"/>
        <v>Premium</v>
      </c>
      <c r="M116" s="7">
        <f ca="1"/>
        <v>44446</v>
      </c>
      <c r="N116" s="7">
        <f ca="1"/>
        <v>449.95</v>
      </c>
      <c r="O116" s="7">
        <f ca="1"/>
        <v>1713</v>
      </c>
      <c r="P116" s="7">
        <f ca="1"/>
        <v>605</v>
      </c>
    </row>
    <row r="117" spans="1:16">
      <c r="A117" s="7" t="str">
        <f ca="1"/>
        <v>TRX0174</v>
      </c>
      <c r="B117" s="7">
        <f ca="1"/>
        <v>45566</v>
      </c>
      <c r="C117" s="8" t="str">
        <f ca="1"/>
        <v>CUST003</v>
      </c>
      <c r="D117" s="7" t="str">
        <f ca="1"/>
        <v>Michael Brown</v>
      </c>
      <c r="E117" s="7" t="str">
        <f ca="1"/>
        <v>P007</v>
      </c>
      <c r="F117" s="7" t="str">
        <f ca="1"/>
        <v>Desk</v>
      </c>
      <c r="G117" s="7" t="str">
        <f ca="1"/>
        <v>Furniture</v>
      </c>
      <c r="H117" s="7">
        <f ca="1"/>
        <v>4</v>
      </c>
      <c r="I117" s="7">
        <f ca="1"/>
        <v>299.99</v>
      </c>
      <c r="J117" s="7" t="str">
        <f ca="1"/>
        <v>Cash</v>
      </c>
      <c r="K117" s="7" t="str">
        <f ca="1"/>
        <v>Central</v>
      </c>
      <c r="L117" s="7" t="str">
        <f ca="1"/>
        <v>Premium</v>
      </c>
      <c r="M117" s="7">
        <f ca="1"/>
        <v>44460</v>
      </c>
      <c r="N117" s="7">
        <f ca="1"/>
        <v>1199.96</v>
      </c>
      <c r="O117" s="7">
        <f ca="1"/>
        <v>1699</v>
      </c>
      <c r="P117" s="7">
        <f ca="1"/>
        <v>593</v>
      </c>
    </row>
    <row r="118" spans="1:16">
      <c r="A118" s="7" t="str">
        <f ca="1"/>
        <v>TRX0203</v>
      </c>
      <c r="B118" s="7">
        <f ca="1"/>
        <v>45572</v>
      </c>
      <c r="C118" s="8" t="str">
        <f ca="1"/>
        <v>CUST032</v>
      </c>
      <c r="D118" s="7" t="str">
        <f ca="1"/>
        <v>Sandra Phillips</v>
      </c>
      <c r="E118" s="7" t="str">
        <f ca="1"/>
        <v>P003</v>
      </c>
      <c r="F118" s="7" t="str">
        <f ca="1"/>
        <v>Headphones</v>
      </c>
      <c r="G118" s="7" t="str">
        <f ca="1"/>
        <v>Electronics</v>
      </c>
      <c r="H118" s="7">
        <f ca="1"/>
        <v>4</v>
      </c>
      <c r="I118" s="7">
        <f ca="1"/>
        <v>149.99</v>
      </c>
      <c r="J118" s="7" t="str">
        <f ca="1"/>
        <v>Credit Card</v>
      </c>
      <c r="K118" s="7" t="str">
        <f ca="1"/>
        <v>North</v>
      </c>
      <c r="L118" s="7" t="str">
        <f ca="1"/>
        <v>Premium</v>
      </c>
      <c r="M118" s="7">
        <f ca="1"/>
        <v>45076</v>
      </c>
      <c r="N118" s="7">
        <f ca="1"/>
        <v>599.96</v>
      </c>
      <c r="O118" s="7">
        <f ca="1"/>
        <v>1083</v>
      </c>
      <c r="P118" s="7">
        <f ca="1"/>
        <v>587</v>
      </c>
    </row>
    <row r="119" spans="1:16">
      <c r="A119" s="7" t="str">
        <f ca="1"/>
        <v>TRX0055</v>
      </c>
      <c r="B119" s="7">
        <f ca="1"/>
        <v>45573</v>
      </c>
      <c r="C119" s="8" t="str">
        <f ca="1"/>
        <v>CUST016</v>
      </c>
      <c r="D119" s="7" t="str">
        <f ca="1"/>
        <v>Elizabeth Hall</v>
      </c>
      <c r="E119" s="7" t="str">
        <f ca="1"/>
        <v>P002</v>
      </c>
      <c r="F119" s="7" t="str">
        <f ca="1"/>
        <v>Smartphone</v>
      </c>
      <c r="G119" s="7" t="str">
        <f ca="1"/>
        <v>Electronics</v>
      </c>
      <c r="H119" s="7">
        <f ca="1"/>
        <v>2</v>
      </c>
      <c r="I119" s="7">
        <f ca="1"/>
        <v>699.99</v>
      </c>
      <c r="J119" s="7" t="str">
        <f ca="1"/>
        <v>Debit Card</v>
      </c>
      <c r="K119" s="7" t="str">
        <f ca="1"/>
        <v>East</v>
      </c>
      <c r="L119" s="7" t="str">
        <f ca="1"/>
        <v>Premium</v>
      </c>
      <c r="M119" s="7">
        <f ca="1"/>
        <v>45274</v>
      </c>
      <c r="N119" s="7">
        <f ca="1"/>
        <v>1399.98</v>
      </c>
      <c r="O119" s="7">
        <f ca="1"/>
        <v>885</v>
      </c>
      <c r="P119" s="7">
        <f ca="1"/>
        <v>586</v>
      </c>
    </row>
    <row r="120" spans="1:16">
      <c r="A120" s="7" t="str">
        <f ca="1"/>
        <v>TRX0167</v>
      </c>
      <c r="B120" s="7">
        <f ca="1"/>
        <v>45589</v>
      </c>
      <c r="C120" s="8" t="str">
        <f ca="1"/>
        <v>CUST028</v>
      </c>
      <c r="D120" s="7" t="str">
        <f ca="1"/>
        <v>Betty Campbell</v>
      </c>
      <c r="E120" s="7" t="str">
        <f ca="1"/>
        <v>P002</v>
      </c>
      <c r="F120" s="7" t="str">
        <f ca="1"/>
        <v>Smartphone</v>
      </c>
      <c r="G120" s="7" t="str">
        <f ca="1"/>
        <v>Electronics</v>
      </c>
      <c r="H120" s="7">
        <f ca="1"/>
        <v>5</v>
      </c>
      <c r="I120" s="7">
        <f ca="1"/>
        <v>699.99</v>
      </c>
      <c r="J120" s="7" t="str">
        <f ca="1"/>
        <v>Cash</v>
      </c>
      <c r="K120" s="7" t="str">
        <f ca="1"/>
        <v>North</v>
      </c>
      <c r="L120" s="7" t="str">
        <f ca="1"/>
        <v>Premium</v>
      </c>
      <c r="M120" s="7">
        <f ca="1"/>
        <v>44635</v>
      </c>
      <c r="N120" s="7">
        <f ca="1"/>
        <v>3499.95</v>
      </c>
      <c r="O120" s="7">
        <f ca="1"/>
        <v>1524</v>
      </c>
      <c r="P120" s="7">
        <f ca="1"/>
        <v>570</v>
      </c>
    </row>
    <row r="121" spans="1:16">
      <c r="A121" s="7" t="str">
        <f ca="1"/>
        <v>TRX0060</v>
      </c>
      <c r="B121" s="7">
        <f ca="1"/>
        <v>45603</v>
      </c>
      <c r="C121" s="8" t="str">
        <f ca="1"/>
        <v>CUST012</v>
      </c>
      <c r="D121" s="7" t="str">
        <f ca="1"/>
        <v>Patricia Moore</v>
      </c>
      <c r="E121" s="7" t="str">
        <f ca="1"/>
        <v>P010</v>
      </c>
      <c r="F121" s="7" t="str">
        <f ca="1"/>
        <v>Keyboard</v>
      </c>
      <c r="G121" s="7" t="str">
        <f ca="1"/>
        <v>Electronics</v>
      </c>
      <c r="H121" s="7">
        <f ca="1"/>
        <v>3</v>
      </c>
      <c r="I121" s="7">
        <f ca="1"/>
        <v>89.99</v>
      </c>
      <c r="J121" s="7" t="str">
        <f ca="1"/>
        <v>Credit Card</v>
      </c>
      <c r="K121" s="7" t="str">
        <f ca="1"/>
        <v>North</v>
      </c>
      <c r="L121" s="7" t="str">
        <f ca="1"/>
        <v>Premium</v>
      </c>
      <c r="M121" s="7">
        <f ca="1"/>
        <v>44420</v>
      </c>
      <c r="N121" s="7">
        <f ca="1"/>
        <v>269.97000000000003</v>
      </c>
      <c r="O121" s="7">
        <f ca="1"/>
        <v>1739</v>
      </c>
      <c r="P121" s="7">
        <f ca="1"/>
        <v>556</v>
      </c>
    </row>
    <row r="122" spans="1:16">
      <c r="A122" s="7" t="str">
        <f ca="1"/>
        <v>TRX0109</v>
      </c>
      <c r="B122" s="7">
        <f ca="1"/>
        <v>45604</v>
      </c>
      <c r="C122" s="8" t="str">
        <f ca="1"/>
        <v>CUST010</v>
      </c>
      <c r="D122" s="7" t="str">
        <f ca="1"/>
        <v>Maria Garcia</v>
      </c>
      <c r="E122" s="7" t="str">
        <f ca="1"/>
        <v>P008</v>
      </c>
      <c r="F122" s="7" t="str">
        <f ca="1"/>
        <v>Bookshelf</v>
      </c>
      <c r="G122" s="7" t="str">
        <f ca="1"/>
        <v>Furniture</v>
      </c>
      <c r="H122" s="7">
        <f ca="1"/>
        <v>2</v>
      </c>
      <c r="I122" s="7">
        <f ca="1"/>
        <v>149.99</v>
      </c>
      <c r="J122" s="7" t="str">
        <f ca="1"/>
        <v>Credit Card</v>
      </c>
      <c r="K122" s="7" t="str">
        <f ca="1"/>
        <v>West</v>
      </c>
      <c r="L122" s="7" t="str">
        <f ca="1"/>
        <v>Premium</v>
      </c>
      <c r="M122" s="7">
        <f ca="1"/>
        <v>44848</v>
      </c>
      <c r="N122" s="7">
        <f ca="1"/>
        <v>299.98</v>
      </c>
      <c r="O122" s="7">
        <f ca="1"/>
        <v>1311</v>
      </c>
      <c r="P122" s="7">
        <f ca="1"/>
        <v>555</v>
      </c>
    </row>
    <row r="123" spans="1:16">
      <c r="A123" s="7" t="str">
        <f ca="1"/>
        <v>TRX0090</v>
      </c>
      <c r="B123" s="7">
        <f ca="1"/>
        <v>45605</v>
      </c>
      <c r="C123" s="8" t="str">
        <f ca="1"/>
        <v>CUST020</v>
      </c>
      <c r="D123" s="7" t="str">
        <f ca="1"/>
        <v>Margaret Wright</v>
      </c>
      <c r="E123" s="7" t="str">
        <f ca="1"/>
        <v>P009</v>
      </c>
      <c r="F123" s="7" t="str">
        <f ca="1"/>
        <v>Monitor</v>
      </c>
      <c r="G123" s="7" t="str">
        <f ca="1"/>
        <v>Electronics</v>
      </c>
      <c r="H123" s="7">
        <f ca="1"/>
        <v>1</v>
      </c>
      <c r="I123" s="7">
        <f ca="1"/>
        <v>249.99</v>
      </c>
      <c r="J123" s="7" t="str">
        <f ca="1"/>
        <v>Credit Card</v>
      </c>
      <c r="K123" s="7" t="str">
        <f ca="1"/>
        <v>North</v>
      </c>
      <c r="L123" s="7" t="str">
        <f ca="1"/>
        <v>Premium</v>
      </c>
      <c r="M123" s="7">
        <f ca="1"/>
        <v>44828</v>
      </c>
      <c r="N123" s="7">
        <f ca="1"/>
        <v>249.99</v>
      </c>
      <c r="O123" s="7">
        <f ca="1"/>
        <v>1331</v>
      </c>
      <c r="P123" s="7">
        <f ca="1"/>
        <v>554</v>
      </c>
    </row>
    <row r="124" spans="1:16">
      <c r="A124" s="7" t="str">
        <f ca="1"/>
        <v>TRX0172</v>
      </c>
      <c r="B124" s="7">
        <f ca="1"/>
        <v>45607</v>
      </c>
      <c r="C124" s="8" t="str">
        <f ca="1"/>
        <v>CUST023</v>
      </c>
      <c r="D124" s="7" t="str">
        <f ca="1"/>
        <v>Paul Baker</v>
      </c>
      <c r="E124" s="7" t="str">
        <f ca="1"/>
        <v>P005</v>
      </c>
      <c r="F124" s="7" t="str">
        <f ca="1"/>
        <v>Blender</v>
      </c>
      <c r="G124" s="7" t="str">
        <f ca="1"/>
        <v>Appliances</v>
      </c>
      <c r="H124" s="7">
        <f ca="1"/>
        <v>5</v>
      </c>
      <c r="I124" s="7">
        <f ca="1"/>
        <v>59.99</v>
      </c>
      <c r="J124" s="7" t="str">
        <f ca="1"/>
        <v>PayPal</v>
      </c>
      <c r="K124" s="7" t="str">
        <f ca="1"/>
        <v>West</v>
      </c>
      <c r="L124" s="7" t="str">
        <f ca="1"/>
        <v>Premium</v>
      </c>
      <c r="M124" s="7">
        <f ca="1"/>
        <v>44694</v>
      </c>
      <c r="N124" s="7">
        <f ca="1"/>
        <v>299.95</v>
      </c>
      <c r="O124" s="7">
        <f ca="1"/>
        <v>1465</v>
      </c>
      <c r="P124" s="7">
        <f ca="1"/>
        <v>552</v>
      </c>
    </row>
    <row r="125" spans="1:16">
      <c r="A125" s="7" t="str">
        <f ca="1"/>
        <v>TRX0160</v>
      </c>
      <c r="B125" s="7">
        <f ca="1"/>
        <v>45617</v>
      </c>
      <c r="C125" s="8" t="str">
        <f ca="1"/>
        <v>CUST029</v>
      </c>
      <c r="D125" s="7" t="str">
        <f ca="1"/>
        <v>Edward Mitchell</v>
      </c>
      <c r="E125" s="7" t="str">
        <f ca="1"/>
        <v>P006</v>
      </c>
      <c r="F125" s="7" t="str">
        <f ca="1"/>
        <v>Office Chair</v>
      </c>
      <c r="G125" s="7" t="str">
        <f ca="1"/>
        <v>Furniture</v>
      </c>
      <c r="H125" s="7">
        <f ca="1"/>
        <v>4</v>
      </c>
      <c r="I125" s="7">
        <f ca="1"/>
        <v>199.99</v>
      </c>
      <c r="J125" s="7" t="str">
        <f ca="1"/>
        <v>Debit Card</v>
      </c>
      <c r="K125" s="7" t="str">
        <f ca="1"/>
        <v>Central</v>
      </c>
      <c r="L125" s="7" t="str">
        <f ca="1"/>
        <v>Premium</v>
      </c>
      <c r="M125" s="7">
        <f ca="1"/>
        <v>44427</v>
      </c>
      <c r="N125" s="7">
        <f ca="1"/>
        <v>799.96</v>
      </c>
      <c r="O125" s="7">
        <f ca="1"/>
        <v>1732</v>
      </c>
      <c r="P125" s="7">
        <f ca="1"/>
        <v>542</v>
      </c>
    </row>
    <row r="126" spans="1:16">
      <c r="A126" s="7" t="str">
        <f ca="1"/>
        <v>TRX0045</v>
      </c>
      <c r="B126" s="7">
        <f ca="1"/>
        <v>45627</v>
      </c>
      <c r="C126" s="8" t="str">
        <f ca="1"/>
        <v>CUST021</v>
      </c>
      <c r="D126" s="7" t="str">
        <f ca="1"/>
        <v>Kevin Scott</v>
      </c>
      <c r="E126" s="7" t="str">
        <f ca="1"/>
        <v>P007</v>
      </c>
      <c r="F126" s="7" t="str">
        <f ca="1"/>
        <v>Desk</v>
      </c>
      <c r="G126" s="7" t="str">
        <f ca="1"/>
        <v>Furniture</v>
      </c>
      <c r="H126" s="7">
        <f ca="1"/>
        <v>3</v>
      </c>
      <c r="I126" s="7">
        <f ca="1"/>
        <v>299.99</v>
      </c>
      <c r="J126" s="7" t="str">
        <f ca="1"/>
        <v>Cash</v>
      </c>
      <c r="K126" s="7" t="str">
        <f ca="1"/>
        <v>South</v>
      </c>
      <c r="L126" s="7" t="str">
        <f ca="1"/>
        <v>Premium</v>
      </c>
      <c r="M126" s="7">
        <f ca="1"/>
        <v>44659</v>
      </c>
      <c r="N126" s="7">
        <f ca="1"/>
        <v>899.97</v>
      </c>
      <c r="O126" s="7">
        <f ca="1"/>
        <v>1500</v>
      </c>
      <c r="P126" s="7">
        <f ca="1"/>
        <v>532</v>
      </c>
    </row>
    <row r="127" spans="1:16">
      <c r="A127" s="7" t="str">
        <f ca="1"/>
        <v>TRX0094</v>
      </c>
      <c r="B127" s="7">
        <f ca="1"/>
        <v>45627</v>
      </c>
      <c r="C127" s="8" t="str">
        <f ca="1"/>
        <v>CUST017</v>
      </c>
      <c r="D127" s="7" t="str">
        <f ca="1"/>
        <v>Charles Allen</v>
      </c>
      <c r="E127" s="7" t="str">
        <f ca="1"/>
        <v>P009</v>
      </c>
      <c r="F127" s="7" t="str">
        <f ca="1"/>
        <v>Monitor</v>
      </c>
      <c r="G127" s="7" t="str">
        <f ca="1"/>
        <v>Electronics</v>
      </c>
      <c r="H127" s="7">
        <f ca="1"/>
        <v>5</v>
      </c>
      <c r="I127" s="7">
        <f ca="1"/>
        <v>249.99</v>
      </c>
      <c r="J127" s="7" t="str">
        <f ca="1"/>
        <v>Cash</v>
      </c>
      <c r="K127" s="7" t="str">
        <f ca="1"/>
        <v>Central</v>
      </c>
      <c r="L127" s="7" t="str">
        <f ca="1"/>
        <v>Premium</v>
      </c>
      <c r="M127" s="7">
        <f ca="1"/>
        <v>44485</v>
      </c>
      <c r="N127" s="7">
        <f ca="1"/>
        <v>1249.95</v>
      </c>
      <c r="O127" s="7">
        <f ca="1"/>
        <v>1674</v>
      </c>
      <c r="P127" s="7">
        <f ca="1"/>
        <v>532</v>
      </c>
    </row>
    <row r="128" spans="1:16">
      <c r="A128" s="7" t="str">
        <f ca="1"/>
        <v>TRX0133</v>
      </c>
      <c r="B128" s="7">
        <f ca="1"/>
        <v>45627</v>
      </c>
      <c r="C128" s="8" t="str">
        <f ca="1"/>
        <v>CUST013</v>
      </c>
      <c r="D128" s="7" t="str">
        <f ca="1"/>
        <v>Joseph Jackson</v>
      </c>
      <c r="E128" s="7" t="str">
        <f ca="1"/>
        <v>P003</v>
      </c>
      <c r="F128" s="7" t="str">
        <f ca="1"/>
        <v>Headphones</v>
      </c>
      <c r="G128" s="7" t="str">
        <f ca="1"/>
        <v>Electronics</v>
      </c>
      <c r="H128" s="7">
        <f ca="1"/>
        <v>2</v>
      </c>
      <c r="I128" s="7">
        <f ca="1"/>
        <v>149.99</v>
      </c>
      <c r="J128" s="7" t="str">
        <f ca="1"/>
        <v>Cash</v>
      </c>
      <c r="K128" s="7" t="str">
        <f ca="1"/>
        <v>South</v>
      </c>
      <c r="L128" s="7" t="str">
        <f ca="1"/>
        <v>Premium</v>
      </c>
      <c r="M128" s="7">
        <f ca="1"/>
        <v>44475</v>
      </c>
      <c r="N128" s="7">
        <f ca="1"/>
        <v>299.98</v>
      </c>
      <c r="O128" s="7">
        <f ca="1"/>
        <v>1684</v>
      </c>
      <c r="P128" s="7">
        <f ca="1"/>
        <v>532</v>
      </c>
    </row>
    <row r="129" spans="1:16">
      <c r="A129" s="7" t="str">
        <f ca="1"/>
        <v>TRX0137</v>
      </c>
      <c r="B129" s="7">
        <f ca="1"/>
        <v>45629</v>
      </c>
      <c r="C129" s="8" t="str">
        <f ca="1"/>
        <v>CUST011</v>
      </c>
      <c r="D129" s="7" t="str">
        <f ca="1"/>
        <v>William White</v>
      </c>
      <c r="E129" s="7" t="str">
        <f ca="1"/>
        <v>P009</v>
      </c>
      <c r="F129" s="7" t="str">
        <f ca="1"/>
        <v>Monitor</v>
      </c>
      <c r="G129" s="7" t="str">
        <f ca="1"/>
        <v>Electronics</v>
      </c>
      <c r="H129" s="7">
        <f ca="1"/>
        <v>4</v>
      </c>
      <c r="I129" s="7">
        <f ca="1"/>
        <v>249.99</v>
      </c>
      <c r="J129" s="7" t="str">
        <f ca="1"/>
        <v>PayPal</v>
      </c>
      <c r="K129" s="7" t="str">
        <f ca="1"/>
        <v>East</v>
      </c>
      <c r="L129" s="7" t="str">
        <f ca="1"/>
        <v>Premium</v>
      </c>
      <c r="M129" s="7">
        <f ca="1"/>
        <v>45098</v>
      </c>
      <c r="N129" s="7">
        <f ca="1"/>
        <v>999.96</v>
      </c>
      <c r="O129" s="7">
        <f ca="1"/>
        <v>1061</v>
      </c>
      <c r="P129" s="7">
        <f ca="1"/>
        <v>530</v>
      </c>
    </row>
    <row r="130" spans="1:16">
      <c r="A130" s="7" t="str">
        <f ca="1"/>
        <v>TRX0066</v>
      </c>
      <c r="B130" s="7">
        <f ca="1"/>
        <v>45630</v>
      </c>
      <c r="C130" s="8" t="str">
        <f ca="1"/>
        <v>CUST024</v>
      </c>
      <c r="D130" s="7" t="str">
        <f ca="1"/>
        <v>Dorothy Nelson</v>
      </c>
      <c r="E130" s="7" t="str">
        <f ca="1"/>
        <v>P002</v>
      </c>
      <c r="F130" s="7" t="str">
        <f ca="1"/>
        <v>Smartphone</v>
      </c>
      <c r="G130" s="7" t="str">
        <f ca="1"/>
        <v>Electronics</v>
      </c>
      <c r="H130" s="7">
        <f ca="1"/>
        <v>4</v>
      </c>
      <c r="I130" s="7">
        <f ca="1"/>
        <v>699.99</v>
      </c>
      <c r="J130" s="7" t="str">
        <f ca="1"/>
        <v>Credit Card</v>
      </c>
      <c r="K130" s="7" t="str">
        <f ca="1"/>
        <v>North</v>
      </c>
      <c r="L130" s="7" t="str">
        <f ca="1"/>
        <v>Premium</v>
      </c>
      <c r="M130" s="7">
        <f ca="1"/>
        <v>44703</v>
      </c>
      <c r="N130" s="7">
        <f ca="1"/>
        <v>2799.96</v>
      </c>
      <c r="O130" s="7">
        <f ca="1"/>
        <v>1456</v>
      </c>
      <c r="P130" s="7">
        <f ca="1"/>
        <v>529</v>
      </c>
    </row>
    <row r="131" spans="1:16">
      <c r="A131" s="7" t="str">
        <f ca="1"/>
        <v>TRX0180</v>
      </c>
      <c r="B131" s="7">
        <f ca="1"/>
        <v>45635</v>
      </c>
      <c r="C131" s="8" t="str">
        <f ca="1"/>
        <v>CUST036</v>
      </c>
      <c r="D131" s="7" t="str">
        <f ca="1"/>
        <v>Nancy Collins</v>
      </c>
      <c r="E131" s="7" t="str">
        <f ca="1"/>
        <v>P009</v>
      </c>
      <c r="F131" s="7" t="str">
        <f ca="1"/>
        <v>Monitor</v>
      </c>
      <c r="G131" s="7" t="str">
        <f ca="1"/>
        <v>Electronics</v>
      </c>
      <c r="H131" s="7">
        <f ca="1"/>
        <v>2</v>
      </c>
      <c r="I131" s="7">
        <f ca="1"/>
        <v>249.99</v>
      </c>
      <c r="J131" s="7" t="str">
        <f ca="1"/>
        <v>Credit Card</v>
      </c>
      <c r="K131" s="7" t="str">
        <f ca="1"/>
        <v>Central</v>
      </c>
      <c r="L131" s="7" t="str">
        <f ca="1"/>
        <v>Premium</v>
      </c>
      <c r="M131" s="7">
        <f ca="1"/>
        <v>44396</v>
      </c>
      <c r="N131" s="7">
        <f ca="1"/>
        <v>499.98</v>
      </c>
      <c r="O131" s="7">
        <f ca="1"/>
        <v>1763</v>
      </c>
      <c r="P131" s="7">
        <f ca="1"/>
        <v>524</v>
      </c>
    </row>
    <row r="132" spans="1:16">
      <c r="A132" s="7" t="str">
        <f ca="1"/>
        <v>TRX0082</v>
      </c>
      <c r="B132" s="7">
        <f ca="1"/>
        <v>45635</v>
      </c>
      <c r="C132" s="8" t="str">
        <f ca="1"/>
        <v>CUST005</v>
      </c>
      <c r="D132" s="7" t="str">
        <f ca="1"/>
        <v>James Johnson</v>
      </c>
      <c r="E132" s="7" t="str">
        <f ca="1"/>
        <v>P005</v>
      </c>
      <c r="F132" s="7" t="str">
        <f ca="1"/>
        <v>Blender</v>
      </c>
      <c r="G132" s="7" t="str">
        <f ca="1"/>
        <v>Appliances</v>
      </c>
      <c r="H132" s="7">
        <f ca="1"/>
        <v>3</v>
      </c>
      <c r="I132" s="7">
        <f ca="1"/>
        <v>59.99</v>
      </c>
      <c r="J132" s="7" t="str">
        <f ca="1"/>
        <v>Cash</v>
      </c>
      <c r="K132" s="7" t="str">
        <f ca="1"/>
        <v>Central</v>
      </c>
      <c r="L132" s="7" t="str">
        <f ca="1"/>
        <v>Premium</v>
      </c>
      <c r="M132" s="7">
        <f ca="1"/>
        <v>45052</v>
      </c>
      <c r="N132" s="7">
        <f ca="1"/>
        <v>179.97</v>
      </c>
      <c r="O132" s="7">
        <f ca="1"/>
        <v>1107</v>
      </c>
      <c r="P132" s="7">
        <f ca="1"/>
        <v>524</v>
      </c>
    </row>
    <row r="133" spans="1:16">
      <c r="A133" s="7" t="str">
        <f ca="1"/>
        <v>TRX0224</v>
      </c>
      <c r="B133" s="7">
        <f ca="1"/>
        <v>45641</v>
      </c>
      <c r="C133" s="8" t="str">
        <f ca="1"/>
        <v>CUST031</v>
      </c>
      <c r="D133" s="7" t="str">
        <f ca="1"/>
        <v>Steven Turner</v>
      </c>
      <c r="E133" s="7" t="str">
        <f ca="1"/>
        <v>P007</v>
      </c>
      <c r="F133" s="7" t="str">
        <f ca="1"/>
        <v>Desk</v>
      </c>
      <c r="G133" s="7" t="str">
        <f ca="1"/>
        <v>Furniture</v>
      </c>
      <c r="H133" s="7">
        <f ca="1"/>
        <v>2</v>
      </c>
      <c r="I133" s="7">
        <f ca="1"/>
        <v>299.99</v>
      </c>
      <c r="J133" s="7" t="str">
        <f ca="1"/>
        <v>Cash</v>
      </c>
      <c r="K133" s="7" t="str">
        <f ca="1"/>
        <v>East</v>
      </c>
      <c r="L133" s="7" t="str">
        <f ca="1"/>
        <v>Premium</v>
      </c>
      <c r="M133" s="7">
        <f ca="1"/>
        <v>44724</v>
      </c>
      <c r="N133" s="7">
        <f ca="1"/>
        <v>599.98</v>
      </c>
      <c r="O133" s="7">
        <f ca="1"/>
        <v>1435</v>
      </c>
      <c r="P133" s="7">
        <f ca="1"/>
        <v>518</v>
      </c>
    </row>
    <row r="134" spans="1:16">
      <c r="A134" s="7" t="str">
        <f ca="1"/>
        <v>TRX0164</v>
      </c>
      <c r="B134" s="7">
        <f ca="1"/>
        <v>45648</v>
      </c>
      <c r="C134" s="8" t="str">
        <f ca="1"/>
        <v>CUST014</v>
      </c>
      <c r="D134" s="7" t="str">
        <f ca="1"/>
        <v>Linda Martin</v>
      </c>
      <c r="E134" s="7" t="str">
        <f ca="1"/>
        <v>P003</v>
      </c>
      <c r="F134" s="7" t="str">
        <f ca="1"/>
        <v>Headphones</v>
      </c>
      <c r="G134" s="7" t="str">
        <f ca="1"/>
        <v>Electronics</v>
      </c>
      <c r="H134" s="7">
        <f ca="1"/>
        <v>2</v>
      </c>
      <c r="I134" s="7">
        <f ca="1"/>
        <v>149.99</v>
      </c>
      <c r="J134" s="7" t="str">
        <f ca="1"/>
        <v>Debit Card</v>
      </c>
      <c r="K134" s="7" t="str">
        <f ca="1"/>
        <v>West</v>
      </c>
      <c r="L134" s="7" t="str">
        <f ca="1"/>
        <v>Premium</v>
      </c>
      <c r="M134" s="7">
        <f ca="1"/>
        <v>45280</v>
      </c>
      <c r="N134" s="7">
        <f ca="1"/>
        <v>299.98</v>
      </c>
      <c r="O134" s="7">
        <f ca="1"/>
        <v>879</v>
      </c>
      <c r="P134" s="7">
        <f ca="1"/>
        <v>511</v>
      </c>
    </row>
    <row r="135" spans="1:16">
      <c r="A135" s="7" t="str">
        <f ca="1"/>
        <v>TRX0156</v>
      </c>
      <c r="B135" s="7">
        <f ca="1"/>
        <v>45655</v>
      </c>
      <c r="C135" s="8" t="str">
        <f ca="1"/>
        <v>CUST009</v>
      </c>
      <c r="D135" s="7" t="str">
        <f ca="1"/>
        <v>Robert Thomas</v>
      </c>
      <c r="E135" s="7" t="str">
        <f ca="1"/>
        <v>P010</v>
      </c>
      <c r="F135" s="7" t="str">
        <f ca="1"/>
        <v>Keyboard</v>
      </c>
      <c r="G135" s="7" t="str">
        <f ca="1"/>
        <v>Electronics</v>
      </c>
      <c r="H135" s="7">
        <f ca="1"/>
        <v>1</v>
      </c>
      <c r="I135" s="7">
        <f ca="1"/>
        <v>89.99</v>
      </c>
      <c r="J135" s="7" t="str">
        <f ca="1"/>
        <v>Credit Card</v>
      </c>
      <c r="K135" s="7" t="str">
        <f ca="1"/>
        <v>South</v>
      </c>
      <c r="L135" s="7" t="str">
        <f ca="1"/>
        <v>Premium</v>
      </c>
      <c r="M135" s="7">
        <f ca="1"/>
        <v>44591</v>
      </c>
      <c r="N135" s="7">
        <f ca="1"/>
        <v>89.99</v>
      </c>
      <c r="O135" s="7">
        <f ca="1"/>
        <v>1568</v>
      </c>
      <c r="P135" s="7">
        <f ca="1"/>
        <v>504</v>
      </c>
    </row>
    <row r="136" spans="1:16">
      <c r="A136" s="7" t="str">
        <f ca="1"/>
        <v>TRX0147</v>
      </c>
      <c r="B136" s="7">
        <f ca="1"/>
        <v>45655</v>
      </c>
      <c r="C136" s="8" t="str">
        <f ca="1"/>
        <v>CUST036</v>
      </c>
      <c r="D136" s="7" t="str">
        <f ca="1"/>
        <v>Nancy Collins</v>
      </c>
      <c r="E136" s="7" t="str">
        <f ca="1"/>
        <v>P008</v>
      </c>
      <c r="F136" s="7" t="str">
        <f ca="1"/>
        <v>Bookshelf</v>
      </c>
      <c r="G136" s="7" t="str">
        <f ca="1"/>
        <v>Furniture</v>
      </c>
      <c r="H136" s="7">
        <f ca="1"/>
        <v>5</v>
      </c>
      <c r="I136" s="7">
        <f ca="1"/>
        <v>149.99</v>
      </c>
      <c r="J136" s="7" t="str">
        <f ca="1"/>
        <v>Cash</v>
      </c>
      <c r="K136" s="7" t="str">
        <f ca="1"/>
        <v>Central</v>
      </c>
      <c r="L136" s="7" t="str">
        <f ca="1"/>
        <v>Premium</v>
      </c>
      <c r="M136" s="7">
        <f ca="1"/>
        <v>45347</v>
      </c>
      <c r="N136" s="7">
        <f ca="1"/>
        <v>749.95</v>
      </c>
      <c r="O136" s="7">
        <f ca="1"/>
        <v>812</v>
      </c>
      <c r="P136" s="7">
        <f ca="1"/>
        <v>504</v>
      </c>
    </row>
    <row r="137" spans="1:16">
      <c r="A137" s="7" t="str">
        <f ca="1"/>
        <v>TRX0207</v>
      </c>
      <c r="B137" s="7">
        <f ca="1"/>
        <v>45657</v>
      </c>
      <c r="C137" s="8" t="str">
        <f ca="1"/>
        <v>CUST025</v>
      </c>
      <c r="D137" s="7" t="str">
        <f ca="1"/>
        <v>Mark Carter</v>
      </c>
      <c r="E137" s="7" t="str">
        <f ca="1"/>
        <v>P001</v>
      </c>
      <c r="F137" s="7" t="str">
        <f ca="1"/>
        <v>Laptop</v>
      </c>
      <c r="G137" s="7" t="str">
        <f ca="1"/>
        <v>Electronics</v>
      </c>
      <c r="H137" s="7">
        <f ca="1"/>
        <v>1</v>
      </c>
      <c r="I137" s="7">
        <f ca="1"/>
        <v>899.99</v>
      </c>
      <c r="J137" s="7" t="str">
        <f ca="1"/>
        <v>PayPal</v>
      </c>
      <c r="K137" s="7" t="str">
        <f ca="1"/>
        <v>North</v>
      </c>
      <c r="L137" s="7" t="str">
        <f ca="1"/>
        <v>Premium</v>
      </c>
      <c r="M137" s="7">
        <f ca="1"/>
        <v>45050</v>
      </c>
      <c r="N137" s="7">
        <f ca="1"/>
        <v>899.99</v>
      </c>
      <c r="O137" s="7">
        <f ca="1"/>
        <v>1109</v>
      </c>
      <c r="P137" s="7">
        <f ca="1"/>
        <v>502</v>
      </c>
    </row>
    <row r="138" spans="1:16">
      <c r="A138" s="7" t="str">
        <f ca="1"/>
        <v>TRX0056</v>
      </c>
      <c r="B138" s="7">
        <f ca="1"/>
        <v>45660</v>
      </c>
      <c r="C138" s="8" t="str">
        <f ca="1"/>
        <v>CUST019</v>
      </c>
      <c r="D138" s="7" t="str">
        <f ca="1"/>
        <v>Daniel King</v>
      </c>
      <c r="E138" s="7" t="str">
        <f ca="1"/>
        <v>P010</v>
      </c>
      <c r="F138" s="7" t="str">
        <f ca="1"/>
        <v>Keyboard</v>
      </c>
      <c r="G138" s="7" t="str">
        <f ca="1"/>
        <v>Electronics</v>
      </c>
      <c r="H138" s="7">
        <f ca="1"/>
        <v>2</v>
      </c>
      <c r="I138" s="7">
        <f ca="1"/>
        <v>89.99</v>
      </c>
      <c r="J138" s="7" t="str">
        <f ca="1"/>
        <v>Credit Card</v>
      </c>
      <c r="K138" s="7" t="str">
        <f ca="1"/>
        <v>South</v>
      </c>
      <c r="L138" s="7" t="str">
        <f ca="1"/>
        <v>Premium</v>
      </c>
      <c r="M138" s="7">
        <f ca="1"/>
        <v>44564</v>
      </c>
      <c r="N138" s="7">
        <f ca="1"/>
        <v>179.98</v>
      </c>
      <c r="O138" s="7">
        <f ca="1"/>
        <v>1595</v>
      </c>
      <c r="P138" s="7">
        <f ca="1"/>
        <v>499</v>
      </c>
    </row>
    <row r="139" spans="1:16">
      <c r="A139" s="7" t="str">
        <f ca="1"/>
        <v>TRX0237</v>
      </c>
      <c r="B139" s="7">
        <f ca="1"/>
        <v>45663</v>
      </c>
      <c r="C139" s="8" t="str">
        <f ca="1"/>
        <v>CUST006</v>
      </c>
      <c r="D139" s="7" t="str">
        <f ca="1"/>
        <v>Lisa Anderson</v>
      </c>
      <c r="E139" s="7" t="str">
        <f ca="1"/>
        <v>P003</v>
      </c>
      <c r="F139" s="7" t="str">
        <f ca="1"/>
        <v>Headphones</v>
      </c>
      <c r="G139" s="7" t="str">
        <f ca="1"/>
        <v>Electronics</v>
      </c>
      <c r="H139" s="7">
        <f ca="1"/>
        <v>5</v>
      </c>
      <c r="I139" s="7">
        <f ca="1"/>
        <v>149.99</v>
      </c>
      <c r="J139" s="7" t="str">
        <f ca="1"/>
        <v>PayPal</v>
      </c>
      <c r="K139" s="7" t="str">
        <f ca="1"/>
        <v>East</v>
      </c>
      <c r="L139" s="7" t="str">
        <f ca="1"/>
        <v>Premium</v>
      </c>
      <c r="M139" s="7">
        <f ca="1"/>
        <v>44824</v>
      </c>
      <c r="N139" s="7">
        <f ca="1"/>
        <v>749.95</v>
      </c>
      <c r="O139" s="7">
        <f ca="1"/>
        <v>1335</v>
      </c>
      <c r="P139" s="7">
        <f ca="1"/>
        <v>496</v>
      </c>
    </row>
    <row r="140" spans="1:16">
      <c r="A140" s="7" t="str">
        <f ca="1"/>
        <v>TRX0125</v>
      </c>
      <c r="B140" s="7">
        <f ca="1"/>
        <v>45666</v>
      </c>
      <c r="C140" s="8" t="str">
        <f ca="1"/>
        <v>CUST026</v>
      </c>
      <c r="D140" s="7" t="str">
        <f ca="1"/>
        <v>Karen Hill</v>
      </c>
      <c r="E140" s="7" t="str">
        <f ca="1"/>
        <v>P002</v>
      </c>
      <c r="F140" s="7" t="str">
        <f ca="1"/>
        <v>Smartphone</v>
      </c>
      <c r="G140" s="7" t="str">
        <f ca="1"/>
        <v>Electronics</v>
      </c>
      <c r="H140" s="7">
        <f ca="1"/>
        <v>3</v>
      </c>
      <c r="I140" s="7">
        <f ca="1"/>
        <v>699.99</v>
      </c>
      <c r="J140" s="7" t="str">
        <f ca="1"/>
        <v>Credit Card</v>
      </c>
      <c r="K140" s="7" t="str">
        <f ca="1"/>
        <v>Central</v>
      </c>
      <c r="L140" s="7" t="str">
        <f ca="1"/>
        <v>Premium</v>
      </c>
      <c r="M140" s="7">
        <f ca="1"/>
        <v>45105</v>
      </c>
      <c r="N140" s="7">
        <f ca="1"/>
        <v>2099.9699999999998</v>
      </c>
      <c r="O140" s="7">
        <f ca="1"/>
        <v>1054</v>
      </c>
      <c r="P140" s="7">
        <f ca="1"/>
        <v>493</v>
      </c>
    </row>
    <row r="141" spans="1:16">
      <c r="A141" s="7" t="str">
        <f ca="1"/>
        <v>TRX0238</v>
      </c>
      <c r="B141" s="7">
        <f ca="1"/>
        <v>45668</v>
      </c>
      <c r="C141" s="8" t="str">
        <f ca="1"/>
        <v>CUST038</v>
      </c>
      <c r="D141" s="7" t="str">
        <f ca="1"/>
        <v>Michelle Rogers</v>
      </c>
      <c r="E141" s="7" t="str">
        <f ca="1"/>
        <v>P002</v>
      </c>
      <c r="F141" s="7" t="str">
        <f ca="1"/>
        <v>Smartphone</v>
      </c>
      <c r="G141" s="7" t="str">
        <f ca="1"/>
        <v>Electronics</v>
      </c>
      <c r="H141" s="7">
        <f ca="1"/>
        <v>3</v>
      </c>
      <c r="I141" s="7">
        <f ca="1"/>
        <v>699.99</v>
      </c>
      <c r="J141" s="7" t="str">
        <f ca="1"/>
        <v>Cash</v>
      </c>
      <c r="K141" s="7" t="str">
        <f ca="1"/>
        <v>North</v>
      </c>
      <c r="L141" s="7" t="str">
        <f ca="1"/>
        <v>Premium</v>
      </c>
      <c r="M141" s="7">
        <f ca="1"/>
        <v>44602</v>
      </c>
      <c r="N141" s="7">
        <f ca="1"/>
        <v>2099.9699999999998</v>
      </c>
      <c r="O141" s="7">
        <f ca="1"/>
        <v>1557</v>
      </c>
      <c r="P141" s="7">
        <f ca="1"/>
        <v>491</v>
      </c>
    </row>
    <row r="142" spans="1:16">
      <c r="A142" s="7" t="str">
        <f ca="1"/>
        <v>TRX0087</v>
      </c>
      <c r="B142" s="7">
        <f ca="1"/>
        <v>45671</v>
      </c>
      <c r="C142" s="8" t="str">
        <f ca="1"/>
        <v>CUST028</v>
      </c>
      <c r="D142" s="7" t="str">
        <f ca="1"/>
        <v>Betty Campbell</v>
      </c>
      <c r="E142" s="7" t="str">
        <f ca="1"/>
        <v>P009</v>
      </c>
      <c r="F142" s="7" t="str">
        <f ca="1"/>
        <v>Monitor</v>
      </c>
      <c r="G142" s="7" t="str">
        <f ca="1"/>
        <v>Electronics</v>
      </c>
      <c r="H142" s="7">
        <f ca="1"/>
        <v>4</v>
      </c>
      <c r="I142" s="7">
        <f ca="1"/>
        <v>249.99</v>
      </c>
      <c r="J142" s="7" t="str">
        <f ca="1"/>
        <v>Credit Card</v>
      </c>
      <c r="K142" s="7" t="str">
        <f ca="1"/>
        <v>North</v>
      </c>
      <c r="L142" s="7" t="str">
        <f ca="1"/>
        <v>Premium</v>
      </c>
      <c r="M142" s="7">
        <f ca="1"/>
        <v>44460</v>
      </c>
      <c r="N142" s="7">
        <f ca="1"/>
        <v>999.96</v>
      </c>
      <c r="O142" s="7">
        <f ca="1"/>
        <v>1699</v>
      </c>
      <c r="P142" s="7">
        <f ca="1"/>
        <v>488</v>
      </c>
    </row>
    <row r="143" spans="1:16">
      <c r="A143" s="7" t="str">
        <f ca="1"/>
        <v>TRX0159</v>
      </c>
      <c r="B143" s="7">
        <f ca="1"/>
        <v>45683</v>
      </c>
      <c r="C143" s="8" t="str">
        <f ca="1"/>
        <v>CUST024</v>
      </c>
      <c r="D143" s="7" t="str">
        <f ca="1"/>
        <v>Dorothy Nelson</v>
      </c>
      <c r="E143" s="7" t="str">
        <f ca="1"/>
        <v>P009</v>
      </c>
      <c r="F143" s="7" t="str">
        <f ca="1"/>
        <v>Monitor</v>
      </c>
      <c r="G143" s="7" t="str">
        <f ca="1"/>
        <v>Electronics</v>
      </c>
      <c r="H143" s="7">
        <f ca="1"/>
        <v>4</v>
      </c>
      <c r="I143" s="7">
        <f ca="1"/>
        <v>249.99</v>
      </c>
      <c r="J143" s="7" t="str">
        <f ca="1"/>
        <v>Debit Card</v>
      </c>
      <c r="K143" s="7" t="str">
        <f ca="1"/>
        <v>Central</v>
      </c>
      <c r="L143" s="7" t="str">
        <f ca="1"/>
        <v>Premium</v>
      </c>
      <c r="M143" s="7">
        <f ca="1"/>
        <v>45217</v>
      </c>
      <c r="N143" s="7">
        <f ca="1"/>
        <v>999.96</v>
      </c>
      <c r="O143" s="7">
        <f ca="1"/>
        <v>942</v>
      </c>
      <c r="P143" s="7">
        <f ca="1"/>
        <v>476</v>
      </c>
    </row>
    <row r="144" spans="1:16">
      <c r="A144" s="7" t="str">
        <f ca="1"/>
        <v>TRX0188</v>
      </c>
      <c r="B144" s="7">
        <f ca="1"/>
        <v>45686</v>
      </c>
      <c r="C144" s="8" t="str">
        <f ca="1"/>
        <v>CUST045</v>
      </c>
      <c r="D144" s="7" t="str">
        <f ca="1"/>
        <v>Douglas Watson</v>
      </c>
      <c r="E144" s="7" t="str">
        <f ca="1"/>
        <v>P002</v>
      </c>
      <c r="F144" s="7" t="str">
        <f ca="1"/>
        <v>Smartphone</v>
      </c>
      <c r="G144" s="7" t="str">
        <f ca="1"/>
        <v>Electronics</v>
      </c>
      <c r="H144" s="7">
        <f ca="1"/>
        <v>2</v>
      </c>
      <c r="I144" s="7">
        <f ca="1"/>
        <v>699.99</v>
      </c>
      <c r="J144" s="7" t="str">
        <f ca="1"/>
        <v>Debit Card</v>
      </c>
      <c r="K144" s="7" t="str">
        <f ca="1"/>
        <v>Central</v>
      </c>
      <c r="L144" s="7" t="str">
        <f ca="1"/>
        <v>Premium</v>
      </c>
      <c r="M144" s="7">
        <f ca="1"/>
        <v>44681</v>
      </c>
      <c r="N144" s="7">
        <f ca="1"/>
        <v>1399.98</v>
      </c>
      <c r="O144" s="7">
        <f ca="1"/>
        <v>1478</v>
      </c>
      <c r="P144" s="7">
        <f ca="1"/>
        <v>473</v>
      </c>
    </row>
    <row r="145" spans="1:16">
      <c r="A145" s="7" t="str">
        <f ca="1"/>
        <v>TRX0010</v>
      </c>
      <c r="B145" s="7">
        <f ca="1"/>
        <v>45688</v>
      </c>
      <c r="C145" s="8" t="str">
        <f ca="1"/>
        <v>CUST026</v>
      </c>
      <c r="D145" s="7" t="str">
        <f ca="1"/>
        <v>Karen Hill</v>
      </c>
      <c r="E145" s="7" t="str">
        <f ca="1"/>
        <v>P002</v>
      </c>
      <c r="F145" s="7" t="str">
        <f ca="1"/>
        <v>Smartphone</v>
      </c>
      <c r="G145" s="7" t="str">
        <f ca="1"/>
        <v>Electronics</v>
      </c>
      <c r="H145" s="7">
        <f ca="1"/>
        <v>4</v>
      </c>
      <c r="I145" s="7">
        <f ca="1"/>
        <v>699.99</v>
      </c>
      <c r="J145" s="7" t="str">
        <f ca="1"/>
        <v>Debit Card</v>
      </c>
      <c r="K145" s="7" t="str">
        <f ca="1"/>
        <v>West</v>
      </c>
      <c r="L145" s="7" t="str">
        <f ca="1"/>
        <v>Premium</v>
      </c>
      <c r="M145" s="7">
        <f ca="1"/>
        <v>44692</v>
      </c>
      <c r="N145" s="7">
        <f ca="1"/>
        <v>2799.96</v>
      </c>
      <c r="O145" s="7">
        <f ca="1"/>
        <v>1467</v>
      </c>
      <c r="P145" s="7">
        <f ca="1"/>
        <v>471</v>
      </c>
    </row>
    <row r="146" spans="1:16">
      <c r="A146" s="7" t="str">
        <f ca="1"/>
        <v>TRX0166</v>
      </c>
      <c r="B146" s="7">
        <f ca="1"/>
        <v>45688</v>
      </c>
      <c r="C146" s="8" t="str">
        <f ca="1"/>
        <v>CUST003</v>
      </c>
      <c r="D146" s="7" t="str">
        <f ca="1"/>
        <v>Michael Brown</v>
      </c>
      <c r="E146" s="7" t="str">
        <f ca="1"/>
        <v>P010</v>
      </c>
      <c r="F146" s="7" t="str">
        <f ca="1"/>
        <v>Keyboard</v>
      </c>
      <c r="G146" s="7" t="str">
        <f ca="1"/>
        <v>Electronics</v>
      </c>
      <c r="H146" s="7">
        <f ca="1"/>
        <v>3</v>
      </c>
      <c r="I146" s="7">
        <f ca="1"/>
        <v>89.99</v>
      </c>
      <c r="J146" s="7" t="str">
        <f ca="1"/>
        <v>Debit Card</v>
      </c>
      <c r="K146" s="7" t="str">
        <f ca="1"/>
        <v>South</v>
      </c>
      <c r="L146" s="7" t="str">
        <f ca="1"/>
        <v>Premium</v>
      </c>
      <c r="M146" s="7">
        <f ca="1"/>
        <v>45307</v>
      </c>
      <c r="N146" s="7">
        <f ca="1"/>
        <v>269.97000000000003</v>
      </c>
      <c r="O146" s="7">
        <f ca="1"/>
        <v>852</v>
      </c>
      <c r="P146" s="7">
        <f ca="1"/>
        <v>471</v>
      </c>
    </row>
    <row r="147" spans="1:16">
      <c r="A147" s="7" t="str">
        <f ca="1"/>
        <v>TRX0024</v>
      </c>
      <c r="B147" s="7">
        <f ca="1"/>
        <v>45695</v>
      </c>
      <c r="C147" s="8" t="str">
        <f ca="1"/>
        <v>CUST042</v>
      </c>
      <c r="D147" s="7" t="str">
        <f ca="1"/>
        <v>Ruth Brooks</v>
      </c>
      <c r="E147" s="7" t="str">
        <f ca="1"/>
        <v>P008</v>
      </c>
      <c r="F147" s="7" t="str">
        <f ca="1"/>
        <v>Bookshelf</v>
      </c>
      <c r="G147" s="7" t="str">
        <f ca="1"/>
        <v>Furniture</v>
      </c>
      <c r="H147" s="7">
        <f ca="1"/>
        <v>3</v>
      </c>
      <c r="I147" s="7">
        <f ca="1"/>
        <v>149.99</v>
      </c>
      <c r="J147" s="7" t="str">
        <f ca="1"/>
        <v>Debit Card</v>
      </c>
      <c r="K147" s="7" t="str">
        <f ca="1"/>
        <v>North</v>
      </c>
      <c r="L147" s="7" t="str">
        <f ca="1"/>
        <v>Premium</v>
      </c>
      <c r="M147" s="7">
        <f ca="1"/>
        <v>44564</v>
      </c>
      <c r="N147" s="7">
        <f ca="1"/>
        <v>449.97</v>
      </c>
      <c r="O147" s="7">
        <f ca="1"/>
        <v>1595</v>
      </c>
      <c r="P147" s="7">
        <f ca="1"/>
        <v>464</v>
      </c>
    </row>
    <row r="148" spans="1:16">
      <c r="A148" s="7" t="str">
        <f ca="1"/>
        <v>TRX0187</v>
      </c>
      <c r="B148" s="7">
        <f ca="1"/>
        <v>45701</v>
      </c>
      <c r="C148" s="8" t="str">
        <f ca="1"/>
        <v>CUST036</v>
      </c>
      <c r="D148" s="7" t="str">
        <f ca="1"/>
        <v>Nancy Collins</v>
      </c>
      <c r="E148" s="7" t="str">
        <f ca="1"/>
        <v>P004</v>
      </c>
      <c r="F148" s="7" t="str">
        <f ca="1"/>
        <v>Coffee Maker</v>
      </c>
      <c r="G148" s="7" t="str">
        <f ca="1"/>
        <v>Appliances</v>
      </c>
      <c r="H148" s="7">
        <f ca="1"/>
        <v>3</v>
      </c>
      <c r="I148" s="7">
        <f ca="1"/>
        <v>79.989999999999995</v>
      </c>
      <c r="J148" s="7" t="str">
        <f ca="1"/>
        <v>Cash</v>
      </c>
      <c r="K148" s="7" t="str">
        <f ca="1"/>
        <v>East</v>
      </c>
      <c r="L148" s="7" t="str">
        <f ca="1"/>
        <v>Premium</v>
      </c>
      <c r="M148" s="7">
        <f ca="1"/>
        <v>44436</v>
      </c>
      <c r="N148" s="7">
        <f ca="1"/>
        <v>239.97</v>
      </c>
      <c r="O148" s="7">
        <f ca="1"/>
        <v>1723</v>
      </c>
      <c r="P148" s="7">
        <f ca="1"/>
        <v>458</v>
      </c>
    </row>
    <row r="149" spans="1:16">
      <c r="A149" s="7" t="str">
        <f ca="1"/>
        <v>TRX0118</v>
      </c>
      <c r="B149" s="7">
        <f ca="1"/>
        <v>45705</v>
      </c>
      <c r="C149" s="8" t="str">
        <f ca="1"/>
        <v>CUST015</v>
      </c>
      <c r="D149" s="7" t="str">
        <f ca="1"/>
        <v>Richard Lee</v>
      </c>
      <c r="E149" s="7" t="str">
        <f ca="1"/>
        <v>P008</v>
      </c>
      <c r="F149" s="7" t="str">
        <f ca="1"/>
        <v>Bookshelf</v>
      </c>
      <c r="G149" s="7" t="str">
        <f ca="1"/>
        <v>Furniture</v>
      </c>
      <c r="H149" s="7">
        <f ca="1"/>
        <v>2</v>
      </c>
      <c r="I149" s="7">
        <f ca="1"/>
        <v>149.99</v>
      </c>
      <c r="J149" s="7" t="str">
        <f ca="1"/>
        <v>Cash</v>
      </c>
      <c r="K149" s="7" t="str">
        <f ca="1"/>
        <v>South</v>
      </c>
      <c r="L149" s="7" t="str">
        <f ca="1"/>
        <v>Premium</v>
      </c>
      <c r="M149" s="7">
        <f ca="1"/>
        <v>44728</v>
      </c>
      <c r="N149" s="7">
        <f ca="1"/>
        <v>299.98</v>
      </c>
      <c r="O149" s="7">
        <f ca="1"/>
        <v>1431</v>
      </c>
      <c r="P149" s="7">
        <f ca="1"/>
        <v>454</v>
      </c>
    </row>
    <row r="150" spans="1:16">
      <c r="A150" s="7" t="str">
        <f ca="1"/>
        <v>TRX0179</v>
      </c>
      <c r="B150" s="7">
        <f ca="1"/>
        <v>45707</v>
      </c>
      <c r="C150" s="8" t="str">
        <f ca="1"/>
        <v>CUST029</v>
      </c>
      <c r="D150" s="7" t="str">
        <f ca="1"/>
        <v>Edward Mitchell</v>
      </c>
      <c r="E150" s="7" t="str">
        <f ca="1"/>
        <v>P002</v>
      </c>
      <c r="F150" s="7" t="str">
        <f ca="1"/>
        <v>Smartphone</v>
      </c>
      <c r="G150" s="7" t="str">
        <f ca="1"/>
        <v>Electronics</v>
      </c>
      <c r="H150" s="7">
        <f ca="1"/>
        <v>5</v>
      </c>
      <c r="I150" s="7">
        <f ca="1"/>
        <v>699.99</v>
      </c>
      <c r="J150" s="7" t="str">
        <f ca="1"/>
        <v>PayPal</v>
      </c>
      <c r="K150" s="7" t="str">
        <f ca="1"/>
        <v>South</v>
      </c>
      <c r="L150" s="7" t="str">
        <f ca="1"/>
        <v>Premium</v>
      </c>
      <c r="M150" s="7">
        <f ca="1"/>
        <v>45352</v>
      </c>
      <c r="N150" s="7">
        <f ca="1"/>
        <v>3499.95</v>
      </c>
      <c r="O150" s="7">
        <f ca="1"/>
        <v>807</v>
      </c>
      <c r="P150" s="7">
        <f ca="1"/>
        <v>452</v>
      </c>
    </row>
    <row r="151" spans="1:16">
      <c r="A151" s="7" t="str">
        <f ca="1"/>
        <v>TRX0221</v>
      </c>
      <c r="B151" s="7">
        <f ca="1"/>
        <v>45708</v>
      </c>
      <c r="C151" s="8" t="str">
        <f ca="1"/>
        <v>CUST033</v>
      </c>
      <c r="D151" s="7" t="str">
        <f ca="1"/>
        <v>Frank Torres</v>
      </c>
      <c r="E151" s="7" t="str">
        <f ca="1"/>
        <v>P006</v>
      </c>
      <c r="F151" s="7" t="str">
        <f ca="1"/>
        <v>Office Chair</v>
      </c>
      <c r="G151" s="7" t="str">
        <f ca="1"/>
        <v>Furniture</v>
      </c>
      <c r="H151" s="7">
        <f ca="1"/>
        <v>3</v>
      </c>
      <c r="I151" s="7">
        <f ca="1"/>
        <v>199.99</v>
      </c>
      <c r="J151" s="7" t="str">
        <f ca="1"/>
        <v>Cash</v>
      </c>
      <c r="K151" s="7" t="str">
        <f ca="1"/>
        <v>West</v>
      </c>
      <c r="L151" s="7" t="str">
        <f ca="1"/>
        <v>Premium</v>
      </c>
      <c r="M151" s="7">
        <f ca="1"/>
        <v>44823</v>
      </c>
      <c r="N151" s="7">
        <f ca="1"/>
        <v>599.97</v>
      </c>
      <c r="O151" s="7">
        <f ca="1"/>
        <v>1336</v>
      </c>
      <c r="P151" s="7">
        <f ca="1"/>
        <v>451</v>
      </c>
    </row>
    <row r="152" spans="1:16">
      <c r="A152" s="7" t="str">
        <f ca="1"/>
        <v>TRX0047</v>
      </c>
      <c r="B152" s="7">
        <f ca="1"/>
        <v>45711</v>
      </c>
      <c r="C152" s="8" t="str">
        <f ca="1"/>
        <v>CUST042</v>
      </c>
      <c r="D152" s="7" t="str">
        <f ca="1"/>
        <v>Ruth Brooks</v>
      </c>
      <c r="E152" s="7" t="str">
        <f ca="1"/>
        <v>P002</v>
      </c>
      <c r="F152" s="7" t="str">
        <f ca="1"/>
        <v>Smartphone</v>
      </c>
      <c r="G152" s="7" t="str">
        <f ca="1"/>
        <v>Electronics</v>
      </c>
      <c r="H152" s="7">
        <f ca="1"/>
        <v>1</v>
      </c>
      <c r="I152" s="7">
        <f ca="1"/>
        <v>699.99</v>
      </c>
      <c r="J152" s="7" t="str">
        <f ca="1"/>
        <v>Cash</v>
      </c>
      <c r="K152" s="7" t="str">
        <f ca="1"/>
        <v>North</v>
      </c>
      <c r="L152" s="7" t="str">
        <f ca="1"/>
        <v>Premium</v>
      </c>
      <c r="M152" s="7">
        <f ca="1"/>
        <v>44583</v>
      </c>
      <c r="N152" s="7">
        <f ca="1"/>
        <v>699.99</v>
      </c>
      <c r="O152" s="7">
        <f ca="1"/>
        <v>1576</v>
      </c>
      <c r="P152" s="7">
        <f ca="1"/>
        <v>448</v>
      </c>
    </row>
    <row r="153" spans="1:16">
      <c r="A153" s="7" t="str">
        <f ca="1"/>
        <v>TRX0200</v>
      </c>
      <c r="B153" s="7">
        <f ca="1"/>
        <v>45711</v>
      </c>
      <c r="C153" s="8" t="str">
        <f ca="1"/>
        <v>CUST037</v>
      </c>
      <c r="D153" s="7" t="str">
        <f ca="1"/>
        <v>Arthur Edwards</v>
      </c>
      <c r="E153" s="7" t="str">
        <f ca="1"/>
        <v>P008</v>
      </c>
      <c r="F153" s="7" t="str">
        <f ca="1"/>
        <v>Bookshelf</v>
      </c>
      <c r="G153" s="7" t="str">
        <f ca="1"/>
        <v>Furniture</v>
      </c>
      <c r="H153" s="7">
        <f ca="1"/>
        <v>4</v>
      </c>
      <c r="I153" s="7">
        <f ca="1"/>
        <v>149.99</v>
      </c>
      <c r="J153" s="7" t="str">
        <f ca="1"/>
        <v>PayPal</v>
      </c>
      <c r="K153" s="7" t="str">
        <f ca="1"/>
        <v>North</v>
      </c>
      <c r="L153" s="7" t="str">
        <f ca="1"/>
        <v>Premium</v>
      </c>
      <c r="M153" s="7">
        <f ca="1"/>
        <v>44412</v>
      </c>
      <c r="N153" s="7">
        <f ca="1"/>
        <v>599.96</v>
      </c>
      <c r="O153" s="7">
        <f ca="1"/>
        <v>1747</v>
      </c>
      <c r="P153" s="7">
        <f ca="1"/>
        <v>448</v>
      </c>
    </row>
    <row r="154" spans="1:16">
      <c r="A154" s="7" t="str">
        <f ca="1"/>
        <v>TRX0062</v>
      </c>
      <c r="B154" s="7">
        <f ca="1"/>
        <v>45711</v>
      </c>
      <c r="C154" s="8" t="str">
        <f ca="1"/>
        <v>CUST016</v>
      </c>
      <c r="D154" s="7" t="str">
        <f ca="1"/>
        <v>Elizabeth Hall</v>
      </c>
      <c r="E154" s="7" t="str">
        <f ca="1"/>
        <v>P010</v>
      </c>
      <c r="F154" s="7" t="str">
        <f ca="1"/>
        <v>Keyboard</v>
      </c>
      <c r="G154" s="7" t="str">
        <f ca="1"/>
        <v>Electronics</v>
      </c>
      <c r="H154" s="7">
        <f ca="1"/>
        <v>5</v>
      </c>
      <c r="I154" s="7">
        <f ca="1"/>
        <v>89.99</v>
      </c>
      <c r="J154" s="7" t="str">
        <f ca="1"/>
        <v>PayPal</v>
      </c>
      <c r="K154" s="7" t="str">
        <f ca="1"/>
        <v>West</v>
      </c>
      <c r="L154" s="7" t="str">
        <f ca="1"/>
        <v>Premium</v>
      </c>
      <c r="M154" s="7">
        <f ca="1"/>
        <v>45140</v>
      </c>
      <c r="N154" s="7">
        <f ca="1"/>
        <v>449.95</v>
      </c>
      <c r="O154" s="7">
        <f ca="1"/>
        <v>1019</v>
      </c>
      <c r="P154" s="7">
        <f ca="1"/>
        <v>448</v>
      </c>
    </row>
    <row r="155" spans="1:16">
      <c r="A155" s="7" t="str">
        <f ca="1"/>
        <v>TRX0182</v>
      </c>
      <c r="B155" s="7">
        <f ca="1"/>
        <v>45712</v>
      </c>
      <c r="C155" s="8" t="str">
        <f ca="1"/>
        <v>CUST031</v>
      </c>
      <c r="D155" s="7" t="str">
        <f ca="1"/>
        <v>Steven Turner</v>
      </c>
      <c r="E155" s="7" t="str">
        <f ca="1"/>
        <v>P006</v>
      </c>
      <c r="F155" s="7" t="str">
        <f ca="1"/>
        <v>Office Chair</v>
      </c>
      <c r="G155" s="7" t="str">
        <f ca="1"/>
        <v>Furniture</v>
      </c>
      <c r="H155" s="7">
        <f ca="1"/>
        <v>2</v>
      </c>
      <c r="I155" s="7">
        <f ca="1"/>
        <v>199.99</v>
      </c>
      <c r="J155" s="7" t="str">
        <f ca="1"/>
        <v>Cash</v>
      </c>
      <c r="K155" s="7" t="str">
        <f ca="1"/>
        <v>Central</v>
      </c>
      <c r="L155" s="7" t="str">
        <f ca="1"/>
        <v>Premium</v>
      </c>
      <c r="M155" s="7">
        <f ca="1"/>
        <v>44573</v>
      </c>
      <c r="N155" s="7">
        <f ca="1"/>
        <v>399.98</v>
      </c>
      <c r="O155" s="7">
        <f ca="1"/>
        <v>1586</v>
      </c>
      <c r="P155" s="7">
        <f ca="1"/>
        <v>447</v>
      </c>
    </row>
    <row r="156" spans="1:16">
      <c r="A156" s="7" t="str">
        <f ca="1"/>
        <v>TRX0226</v>
      </c>
      <c r="B156" s="7">
        <f ca="1"/>
        <v>45720</v>
      </c>
      <c r="C156" s="8" t="str">
        <f ca="1"/>
        <v>CUST039</v>
      </c>
      <c r="D156" s="7" t="str">
        <f ca="1"/>
        <v>Lawrence Reed</v>
      </c>
      <c r="E156" s="7" t="str">
        <f ca="1"/>
        <v>P002</v>
      </c>
      <c r="F156" s="7" t="str">
        <f ca="1"/>
        <v>Smartphone</v>
      </c>
      <c r="G156" s="7" t="str">
        <f ca="1"/>
        <v>Electronics</v>
      </c>
      <c r="H156" s="7">
        <f ca="1"/>
        <v>5</v>
      </c>
      <c r="I156" s="7">
        <f ca="1"/>
        <v>699.99</v>
      </c>
      <c r="J156" s="7" t="str">
        <f ca="1"/>
        <v>Debit Card</v>
      </c>
      <c r="K156" s="7" t="str">
        <f ca="1"/>
        <v>East</v>
      </c>
      <c r="L156" s="7" t="str">
        <f ca="1"/>
        <v>Premium</v>
      </c>
      <c r="M156" s="7">
        <f ca="1"/>
        <v>45161</v>
      </c>
      <c r="N156" s="7">
        <f ca="1"/>
        <v>3499.95</v>
      </c>
      <c r="O156" s="7">
        <f ca="1"/>
        <v>998</v>
      </c>
      <c r="P156" s="7">
        <f ca="1"/>
        <v>439</v>
      </c>
    </row>
    <row r="157" spans="1:16">
      <c r="A157" s="7" t="str">
        <f ca="1"/>
        <v>TRX0053</v>
      </c>
      <c r="B157" s="7">
        <f ca="1"/>
        <v>45721</v>
      </c>
      <c r="C157" s="8" t="str">
        <f ca="1"/>
        <v>CUST043</v>
      </c>
      <c r="D157" s="7" t="str">
        <f ca="1"/>
        <v>Dennis Gray</v>
      </c>
      <c r="E157" s="7" t="str">
        <f ca="1"/>
        <v>P005</v>
      </c>
      <c r="F157" s="7" t="str">
        <f ca="1"/>
        <v>Blender</v>
      </c>
      <c r="G157" s="7" t="str">
        <f ca="1"/>
        <v>Appliances</v>
      </c>
      <c r="H157" s="7">
        <f ca="1"/>
        <v>5</v>
      </c>
      <c r="I157" s="7">
        <f ca="1"/>
        <v>59.99</v>
      </c>
      <c r="J157" s="7" t="str">
        <f ca="1"/>
        <v>Cash</v>
      </c>
      <c r="K157" s="7" t="str">
        <f ca="1"/>
        <v>West</v>
      </c>
      <c r="L157" s="7" t="str">
        <f ca="1"/>
        <v>Premium</v>
      </c>
      <c r="M157" s="7">
        <f ca="1"/>
        <v>45291</v>
      </c>
      <c r="N157" s="7">
        <f ca="1"/>
        <v>299.95</v>
      </c>
      <c r="O157" s="7">
        <f ca="1"/>
        <v>868</v>
      </c>
      <c r="P157" s="7">
        <f ca="1"/>
        <v>438</v>
      </c>
    </row>
    <row r="158" spans="1:16">
      <c r="A158" s="7" t="str">
        <f ca="1"/>
        <v>TRX0233</v>
      </c>
      <c r="B158" s="7">
        <f ca="1"/>
        <v>45723</v>
      </c>
      <c r="C158" s="8" t="str">
        <f ca="1"/>
        <v>CUST023</v>
      </c>
      <c r="D158" s="7" t="str">
        <f ca="1"/>
        <v>Paul Baker</v>
      </c>
      <c r="E158" s="7" t="str">
        <f ca="1"/>
        <v>P010</v>
      </c>
      <c r="F158" s="7" t="str">
        <f ca="1"/>
        <v>Keyboard</v>
      </c>
      <c r="G158" s="7" t="str">
        <f ca="1"/>
        <v>Electronics</v>
      </c>
      <c r="H158" s="7">
        <f ca="1"/>
        <v>2</v>
      </c>
      <c r="I158" s="7">
        <f ca="1"/>
        <v>89.99</v>
      </c>
      <c r="J158" s="7" t="str">
        <f ca="1"/>
        <v>Credit Card</v>
      </c>
      <c r="K158" s="7" t="str">
        <f ca="1"/>
        <v>West</v>
      </c>
      <c r="L158" s="7" t="str">
        <f ca="1"/>
        <v>Premium</v>
      </c>
      <c r="M158" s="7">
        <f ca="1"/>
        <v>45295</v>
      </c>
      <c r="N158" s="7">
        <f ca="1"/>
        <v>179.98</v>
      </c>
      <c r="O158" s="7">
        <f ca="1"/>
        <v>864</v>
      </c>
      <c r="P158" s="7">
        <f ca="1"/>
        <v>436</v>
      </c>
    </row>
    <row r="159" spans="1:16">
      <c r="A159" s="7" t="str">
        <f ca="1"/>
        <v>TRX0186</v>
      </c>
      <c r="B159" s="7">
        <f ca="1"/>
        <v>45724</v>
      </c>
      <c r="C159" s="8" t="str">
        <f ca="1"/>
        <v>CUST039</v>
      </c>
      <c r="D159" s="7" t="str">
        <f ca="1"/>
        <v>Lawrence Reed</v>
      </c>
      <c r="E159" s="7" t="str">
        <f ca="1"/>
        <v>P008</v>
      </c>
      <c r="F159" s="7" t="str">
        <f ca="1"/>
        <v>Bookshelf</v>
      </c>
      <c r="G159" s="7" t="str">
        <f ca="1"/>
        <v>Furniture</v>
      </c>
      <c r="H159" s="7">
        <f ca="1"/>
        <v>2</v>
      </c>
      <c r="I159" s="7">
        <f ca="1"/>
        <v>149.99</v>
      </c>
      <c r="J159" s="7" t="str">
        <f ca="1"/>
        <v>PayPal</v>
      </c>
      <c r="K159" s="7" t="str">
        <f ca="1"/>
        <v>Central</v>
      </c>
      <c r="L159" s="7" t="str">
        <f ca="1"/>
        <v>Premium</v>
      </c>
      <c r="M159" s="7">
        <f ca="1"/>
        <v>44632</v>
      </c>
      <c r="N159" s="7">
        <f ca="1"/>
        <v>299.98</v>
      </c>
      <c r="O159" s="7">
        <f ca="1"/>
        <v>1527</v>
      </c>
      <c r="P159" s="7">
        <f ca="1"/>
        <v>435</v>
      </c>
    </row>
    <row r="160" spans="1:16">
      <c r="A160" s="7" t="str">
        <f ca="1"/>
        <v>TRX0016</v>
      </c>
      <c r="B160" s="7">
        <f ca="1"/>
        <v>45724</v>
      </c>
      <c r="C160" s="8" t="str">
        <f ca="1"/>
        <v>CUST035</v>
      </c>
      <c r="D160" s="7" t="str">
        <f ca="1"/>
        <v>Harry Morgan</v>
      </c>
      <c r="E160" s="7" t="str">
        <f ca="1"/>
        <v>P001</v>
      </c>
      <c r="F160" s="7" t="str">
        <f ca="1"/>
        <v>Laptop</v>
      </c>
      <c r="G160" s="7" t="str">
        <f ca="1"/>
        <v>Electronics</v>
      </c>
      <c r="H160" s="7">
        <f ca="1"/>
        <v>5</v>
      </c>
      <c r="I160" s="7">
        <f ca="1"/>
        <v>899.99</v>
      </c>
      <c r="J160" s="7" t="str">
        <f ca="1"/>
        <v>PayPal</v>
      </c>
      <c r="K160" s="7" t="str">
        <f ca="1"/>
        <v>East</v>
      </c>
      <c r="L160" s="7" t="str">
        <f ca="1"/>
        <v>Premium</v>
      </c>
      <c r="M160" s="7">
        <f ca="1"/>
        <v>45389</v>
      </c>
      <c r="N160" s="7">
        <f ca="1"/>
        <v>4499.95</v>
      </c>
      <c r="O160" s="7">
        <f ca="1"/>
        <v>770</v>
      </c>
      <c r="P160" s="7">
        <f ca="1"/>
        <v>435</v>
      </c>
    </row>
    <row r="161" spans="1:16">
      <c r="A161" s="7" t="str">
        <f ca="1"/>
        <v>TRX0003</v>
      </c>
      <c r="B161" s="7">
        <f ca="1"/>
        <v>45737</v>
      </c>
      <c r="C161" s="8" t="str">
        <f ca="1"/>
        <v>CUST002</v>
      </c>
      <c r="D161" s="7" t="str">
        <f ca="1"/>
        <v>Emma Wilson</v>
      </c>
      <c r="E161" s="7" t="str">
        <f ca="1"/>
        <v>P008</v>
      </c>
      <c r="F161" s="7" t="str">
        <f ca="1"/>
        <v>Bookshelf</v>
      </c>
      <c r="G161" s="7" t="str">
        <f ca="1"/>
        <v>Furniture</v>
      </c>
      <c r="H161" s="7">
        <f ca="1"/>
        <v>2</v>
      </c>
      <c r="I161" s="7">
        <f ca="1"/>
        <v>149.99</v>
      </c>
      <c r="J161" s="7" t="str">
        <f ca="1"/>
        <v>Cash</v>
      </c>
      <c r="K161" s="7" t="str">
        <f ca="1"/>
        <v>West</v>
      </c>
      <c r="L161" s="7" t="str">
        <f ca="1"/>
        <v>Premium</v>
      </c>
      <c r="M161" s="7">
        <f ca="1"/>
        <v>45233</v>
      </c>
      <c r="N161" s="7">
        <f ca="1"/>
        <v>299.98</v>
      </c>
      <c r="O161" s="7">
        <f ca="1"/>
        <v>926</v>
      </c>
      <c r="P161" s="7">
        <f ca="1"/>
        <v>422</v>
      </c>
    </row>
    <row r="162" spans="1:16">
      <c r="A162" s="7" t="str">
        <f ca="1"/>
        <v>TRX0124</v>
      </c>
      <c r="B162" s="7">
        <f ca="1"/>
        <v>45737</v>
      </c>
      <c r="C162" s="8" t="str">
        <f ca="1"/>
        <v>CUST040</v>
      </c>
      <c r="D162" s="7" t="str">
        <f ca="1"/>
        <v>Sharon Butler</v>
      </c>
      <c r="E162" s="7" t="str">
        <f ca="1"/>
        <v>P001</v>
      </c>
      <c r="F162" s="7" t="str">
        <f ca="1"/>
        <v>Laptop</v>
      </c>
      <c r="G162" s="7" t="str">
        <f ca="1"/>
        <v>Electronics</v>
      </c>
      <c r="H162" s="7">
        <f ca="1"/>
        <v>3</v>
      </c>
      <c r="I162" s="7">
        <f ca="1"/>
        <v>899.99</v>
      </c>
      <c r="J162" s="7" t="str">
        <f ca="1"/>
        <v>Debit Card</v>
      </c>
      <c r="K162" s="7" t="str">
        <f ca="1"/>
        <v>North</v>
      </c>
      <c r="L162" s="7" t="str">
        <f ca="1"/>
        <v>Premium</v>
      </c>
      <c r="M162" s="7">
        <f ca="1"/>
        <v>44876</v>
      </c>
      <c r="N162" s="7">
        <f ca="1"/>
        <v>2699.97</v>
      </c>
      <c r="O162" s="7">
        <f ca="1"/>
        <v>1283</v>
      </c>
      <c r="P162" s="7">
        <f ca="1"/>
        <v>422</v>
      </c>
    </row>
    <row r="163" spans="1:16">
      <c r="A163" s="7" t="str">
        <f ca="1"/>
        <v>TRX0019</v>
      </c>
      <c r="B163" s="7">
        <f ca="1"/>
        <v>45739</v>
      </c>
      <c r="C163" s="8" t="str">
        <f ca="1"/>
        <v>CUST023</v>
      </c>
      <c r="D163" s="7" t="str">
        <f ca="1"/>
        <v>Paul Baker</v>
      </c>
      <c r="E163" s="7" t="str">
        <f ca="1"/>
        <v>P007</v>
      </c>
      <c r="F163" s="7" t="str">
        <f ca="1"/>
        <v>Desk</v>
      </c>
      <c r="G163" s="7" t="str">
        <f ca="1"/>
        <v>Furniture</v>
      </c>
      <c r="H163" s="7">
        <f ca="1"/>
        <v>3</v>
      </c>
      <c r="I163" s="7">
        <f ca="1"/>
        <v>299.99</v>
      </c>
      <c r="J163" s="7" t="str">
        <f ca="1"/>
        <v>Credit Card</v>
      </c>
      <c r="K163" s="7" t="str">
        <f ca="1"/>
        <v>West</v>
      </c>
      <c r="L163" s="7" t="str">
        <f ca="1"/>
        <v>Premium</v>
      </c>
      <c r="M163" s="7">
        <f ca="1"/>
        <v>45234</v>
      </c>
      <c r="N163" s="7">
        <f ca="1"/>
        <v>899.97</v>
      </c>
      <c r="O163" s="7">
        <f ca="1"/>
        <v>925</v>
      </c>
      <c r="P163" s="7">
        <f ca="1"/>
        <v>420</v>
      </c>
    </row>
    <row r="164" spans="1:16">
      <c r="A164" s="7" t="str">
        <f ca="1"/>
        <v>TRX0250</v>
      </c>
      <c r="B164" s="7">
        <f ca="1"/>
        <v>45746</v>
      </c>
      <c r="C164" s="8" t="str">
        <f ca="1"/>
        <v>CUST026</v>
      </c>
      <c r="D164" s="7" t="str">
        <f ca="1"/>
        <v>Karen Hill</v>
      </c>
      <c r="E164" s="7" t="str">
        <f ca="1"/>
        <v>P010</v>
      </c>
      <c r="F164" s="7" t="str">
        <f ca="1"/>
        <v>Keyboard</v>
      </c>
      <c r="G164" s="7" t="str">
        <f ca="1"/>
        <v>Electronics</v>
      </c>
      <c r="H164" s="7">
        <f ca="1"/>
        <v>2</v>
      </c>
      <c r="I164" s="7">
        <f ca="1"/>
        <v>89.99</v>
      </c>
      <c r="J164" s="7" t="str">
        <f ca="1"/>
        <v>Debit Card</v>
      </c>
      <c r="K164" s="7" t="str">
        <f ca="1"/>
        <v>West</v>
      </c>
      <c r="L164" s="7" t="str">
        <f ca="1"/>
        <v>Premium</v>
      </c>
      <c r="M164" s="7">
        <f ca="1"/>
        <v>44522</v>
      </c>
      <c r="N164" s="7">
        <f ca="1"/>
        <v>179.98</v>
      </c>
      <c r="O164" s="7">
        <f ca="1"/>
        <v>1637</v>
      </c>
      <c r="P164" s="7">
        <f ca="1"/>
        <v>413</v>
      </c>
    </row>
    <row r="165" spans="1:16">
      <c r="A165" s="7" t="str">
        <f ca="1"/>
        <v>TRX0064</v>
      </c>
      <c r="B165" s="7">
        <f ca="1"/>
        <v>45758</v>
      </c>
      <c r="C165" s="8" t="str">
        <f ca="1"/>
        <v>CUST031</v>
      </c>
      <c r="D165" s="7" t="str">
        <f ca="1"/>
        <v>Steven Turner</v>
      </c>
      <c r="E165" s="7" t="str">
        <f ca="1"/>
        <v>P010</v>
      </c>
      <c r="F165" s="7" t="str">
        <f ca="1"/>
        <v>Keyboard</v>
      </c>
      <c r="G165" s="7" t="str">
        <f ca="1"/>
        <v>Electronics</v>
      </c>
      <c r="H165" s="7">
        <f ca="1"/>
        <v>3</v>
      </c>
      <c r="I165" s="7">
        <f ca="1"/>
        <v>89.99</v>
      </c>
      <c r="J165" s="7" t="str">
        <f ca="1"/>
        <v>Debit Card</v>
      </c>
      <c r="K165" s="7" t="str">
        <f ca="1"/>
        <v>North</v>
      </c>
      <c r="L165" s="7" t="str">
        <f ca="1"/>
        <v>Premium</v>
      </c>
      <c r="M165" s="7">
        <f ca="1"/>
        <v>44878</v>
      </c>
      <c r="N165" s="7">
        <f ca="1"/>
        <v>269.97000000000003</v>
      </c>
      <c r="O165" s="7">
        <f ca="1"/>
        <v>1281</v>
      </c>
      <c r="P165" s="7">
        <f ca="1"/>
        <v>401</v>
      </c>
    </row>
    <row r="167" spans="1:16">
      <c r="A167" s="77" t="s">
        <v>419</v>
      </c>
      <c r="B167" s="77"/>
      <c r="C167" s="77"/>
    </row>
    <row r="168" spans="1:16">
      <c r="A168" s="21" t="s">
        <v>420</v>
      </c>
      <c r="B168" s="21" t="s">
        <v>421</v>
      </c>
      <c r="C168" s="20" t="s">
        <v>422</v>
      </c>
    </row>
    <row r="169" spans="1:16">
      <c r="A169" s="7" t="str" cm="1">
        <f t="array" ref="A169:A199">_xlfn.UNIQUE(_xlfn._xlws.FILTER('Raw data'!D2:D251,'Raw data'!K2:K251="North"))</f>
        <v>Kathleen Bennett</v>
      </c>
      <c r="B169" s="7" t="str" cm="1">
        <f t="array" ref="B169:B209">_xlfn.UNIQUE(_xlfn._xlws.FILTER('Raw data'!D2:D251,'Raw data'!L2:L251="Premium"))</f>
        <v>Joseph Jackson</v>
      </c>
      <c r="C169" s="8" t="str">
        <f>IF(ISNUMBER(MATCH(A169,$B$169:$B$220,0)),A169,"No match")</f>
        <v>Kathleen Bennett</v>
      </c>
    </row>
    <row r="170" spans="1:16">
      <c r="A170" s="7" t="str">
        <v>Michael Brown</v>
      </c>
      <c r="B170" s="7" t="str">
        <v>Kathleen Bennett</v>
      </c>
      <c r="C170" s="8" t="str">
        <f t="shared" ref="C170:C209" si="1">IF(ISNUMBER(MATCH(A170,$B$169:$B$263,0)),A170,"No match")</f>
        <v>Michael Brown</v>
      </c>
    </row>
    <row r="171" spans="1:16">
      <c r="A171" s="7" t="str">
        <v>Peter Richardson</v>
      </c>
      <c r="B171" s="7" t="str">
        <v>Michael Brown</v>
      </c>
      <c r="C171" s="8" t="str">
        <f t="shared" si="1"/>
        <v>Peter Richardson</v>
      </c>
    </row>
    <row r="172" spans="1:16">
      <c r="A172" s="7" t="str">
        <v>Dennis Gray</v>
      </c>
      <c r="B172" s="7" t="str">
        <v>Karen Hill</v>
      </c>
      <c r="C172" s="8" t="str">
        <f t="shared" si="1"/>
        <v>Dennis Gray</v>
      </c>
    </row>
    <row r="173" spans="1:16">
      <c r="A173" s="7" t="str">
        <v>George Adams</v>
      </c>
      <c r="B173" s="7" t="str">
        <v>Peter Richardson</v>
      </c>
      <c r="C173" s="8" t="str">
        <f t="shared" ca="1" si="1"/>
        <v>No match</v>
      </c>
    </row>
    <row r="174" spans="1:16">
      <c r="A174" s="7" t="str">
        <v>Mark Carter</v>
      </c>
      <c r="B174" s="7" t="str">
        <v>Mark Carter</v>
      </c>
      <c r="C174" s="8" t="str">
        <f t="shared" si="1"/>
        <v>Mark Carter</v>
      </c>
    </row>
    <row r="175" spans="1:16">
      <c r="A175" s="7" t="str">
        <v>Maria Garcia</v>
      </c>
      <c r="B175" s="7" t="str">
        <v>Virginia Sanders</v>
      </c>
      <c r="C175" s="8" t="str">
        <f t="shared" si="1"/>
        <v>Maria Garcia</v>
      </c>
    </row>
    <row r="176" spans="1:16">
      <c r="A176" s="7" t="str">
        <v>Virginia Sanders</v>
      </c>
      <c r="B176" s="7" t="str">
        <v>Linda Martin</v>
      </c>
      <c r="C176" s="8" t="str">
        <f t="shared" si="1"/>
        <v>Virginia Sanders</v>
      </c>
    </row>
    <row r="177" spans="1:3">
      <c r="A177" s="7" t="str">
        <v>Cynthia Price</v>
      </c>
      <c r="B177" s="7" t="str">
        <v>Patricia Moore</v>
      </c>
      <c r="C177" s="8" t="str">
        <f t="shared" ca="1" si="1"/>
        <v>No match</v>
      </c>
    </row>
    <row r="178" spans="1:3">
      <c r="A178" s="7" t="str">
        <v>Patricia Moore</v>
      </c>
      <c r="B178" s="7" t="str">
        <v>Emma Wilson</v>
      </c>
      <c r="C178" s="8" t="str">
        <f t="shared" si="1"/>
        <v>Patricia Moore</v>
      </c>
    </row>
    <row r="179" spans="1:3">
      <c r="A179" s="7" t="str">
        <v>Steven Turner</v>
      </c>
      <c r="B179" s="7" t="str">
        <v>Kevin Scott</v>
      </c>
      <c r="C179" s="8" t="str">
        <f t="shared" si="1"/>
        <v>Steven Turner</v>
      </c>
    </row>
    <row r="180" spans="1:3">
      <c r="A180" s="7" t="str">
        <v>Daniel King</v>
      </c>
      <c r="B180" s="7" t="str">
        <v>Steven Turner</v>
      </c>
      <c r="C180" s="8" t="str">
        <f t="shared" si="1"/>
        <v>Daniel King</v>
      </c>
    </row>
    <row r="181" spans="1:3">
      <c r="A181" s="7" t="str">
        <v>Charles Allen</v>
      </c>
      <c r="B181" s="7" t="str">
        <v>Harry Morgan</v>
      </c>
      <c r="C181" s="8" t="str">
        <f t="shared" si="1"/>
        <v>Charles Allen</v>
      </c>
    </row>
    <row r="182" spans="1:3">
      <c r="A182" s="7" t="str">
        <v>Margaret Wright</v>
      </c>
      <c r="B182" s="7" t="str">
        <v>Lisa Anderson</v>
      </c>
      <c r="C182" s="8" t="str">
        <f t="shared" si="1"/>
        <v>Margaret Wright</v>
      </c>
    </row>
    <row r="183" spans="1:3">
      <c r="A183" s="7" t="str">
        <v>Barbara Young</v>
      </c>
      <c r="B183" s="7" t="str">
        <v>Edward Mitchell</v>
      </c>
      <c r="C183" s="8" t="str">
        <f t="shared" si="1"/>
        <v>Barbara Young</v>
      </c>
    </row>
    <row r="184" spans="1:3">
      <c r="A184" s="7" t="str">
        <v>Frank Torres</v>
      </c>
      <c r="B184" s="7" t="str">
        <v>Betty Campbell</v>
      </c>
      <c r="C184" s="8" t="str">
        <f t="shared" si="1"/>
        <v>Frank Torres</v>
      </c>
    </row>
    <row r="185" spans="1:3">
      <c r="A185" s="7" t="str">
        <v>Karen Hill</v>
      </c>
      <c r="B185" s="7" t="str">
        <v>Barbara Young</v>
      </c>
      <c r="C185" s="8" t="str">
        <f t="shared" si="1"/>
        <v>Karen Hill</v>
      </c>
    </row>
    <row r="186" spans="1:3">
      <c r="A186" s="7" t="str">
        <v>David Martinez</v>
      </c>
      <c r="B186" s="7" t="str">
        <v>Frank Torres</v>
      </c>
      <c r="C186" s="8" t="str">
        <f t="shared" si="1"/>
        <v>David Martinez</v>
      </c>
    </row>
    <row r="187" spans="1:3">
      <c r="A187" s="7" t="str">
        <v>Betty Campbell</v>
      </c>
      <c r="B187" s="7" t="str">
        <v>David Martinez</v>
      </c>
      <c r="C187" s="8" t="str">
        <f t="shared" si="1"/>
        <v>Betty Campbell</v>
      </c>
    </row>
    <row r="188" spans="1:3">
      <c r="A188" s="7" t="str">
        <v>Sandra Phillips</v>
      </c>
      <c r="B188" s="7" t="str">
        <v>Margaret Wright</v>
      </c>
      <c r="C188" s="8" t="str">
        <f t="shared" si="1"/>
        <v>Sandra Phillips</v>
      </c>
    </row>
    <row r="189" spans="1:3">
      <c r="A189" s="7" t="str">
        <v>Paul Baker</v>
      </c>
      <c r="B189" s="7" t="str">
        <v>Lawrence Reed</v>
      </c>
      <c r="C189" s="8" t="str">
        <f t="shared" si="1"/>
        <v>Paul Baker</v>
      </c>
    </row>
    <row r="190" spans="1:3">
      <c r="A190" s="7" t="str">
        <v>Jennifer Taylor</v>
      </c>
      <c r="B190" s="7" t="str">
        <v>Gerald Murphy</v>
      </c>
      <c r="C190" s="8" t="str">
        <f t="shared" ca="1" si="1"/>
        <v>No match</v>
      </c>
    </row>
    <row r="191" spans="1:3">
      <c r="A191" s="7" t="str">
        <v>Ruth Brooks</v>
      </c>
      <c r="B191" s="7" t="str">
        <v>Carol Evans</v>
      </c>
      <c r="C191" s="8" t="str">
        <f t="shared" si="1"/>
        <v>Ruth Brooks</v>
      </c>
    </row>
    <row r="192" spans="1:3">
      <c r="A192" s="7" t="str">
        <v>Raymond Ross</v>
      </c>
      <c r="B192" s="7" t="str">
        <v>Sandra Phillips</v>
      </c>
      <c r="C192" s="8" t="str">
        <f t="shared" ca="1" si="1"/>
        <v>No match</v>
      </c>
    </row>
    <row r="193" spans="1:3">
      <c r="A193" s="7" t="str">
        <v>Douglas Watson</v>
      </c>
      <c r="B193" s="7" t="str">
        <v>Paul Baker</v>
      </c>
      <c r="C193" s="8" t="str">
        <f t="shared" si="1"/>
        <v>Douglas Watson</v>
      </c>
    </row>
    <row r="194" spans="1:3">
      <c r="A194" s="7" t="str">
        <v>Dorothy Nelson</v>
      </c>
      <c r="B194" s="7" t="str">
        <v>Dorothy Nelson</v>
      </c>
      <c r="C194" s="8" t="str">
        <f t="shared" si="1"/>
        <v>Dorothy Nelson</v>
      </c>
    </row>
    <row r="195" spans="1:3">
      <c r="A195" s="7" t="str">
        <v>Arthur Edwards</v>
      </c>
      <c r="B195" s="7" t="str">
        <v>Daniel King</v>
      </c>
      <c r="C195" s="8" t="str">
        <f t="shared" si="1"/>
        <v>Arthur Edwards</v>
      </c>
    </row>
    <row r="196" spans="1:3">
      <c r="A196" s="7" t="str">
        <v>Michelle Rogers</v>
      </c>
      <c r="B196" s="7" t="str">
        <v>Elizabeth Hall</v>
      </c>
      <c r="C196" s="8" t="str">
        <f t="shared" si="1"/>
        <v>Michelle Rogers</v>
      </c>
    </row>
    <row r="197" spans="1:3">
      <c r="A197" s="7" t="str">
        <v>Helen Roberts</v>
      </c>
      <c r="B197" s="7" t="str">
        <v>Maria Garcia</v>
      </c>
      <c r="C197" s="8" t="str">
        <f t="shared" ca="1" si="1"/>
        <v>No match</v>
      </c>
    </row>
    <row r="198" spans="1:3">
      <c r="A198" s="7" t="str">
        <v>Harry Morgan</v>
      </c>
      <c r="B198" s="7" t="str">
        <v>Charles Allen</v>
      </c>
      <c r="C198" s="8" t="str">
        <f t="shared" si="1"/>
        <v>Harry Morgan</v>
      </c>
    </row>
    <row r="199" spans="1:3">
      <c r="A199" s="7" t="str">
        <v>Sharon Butler</v>
      </c>
      <c r="B199" s="7" t="str">
        <v>William White</v>
      </c>
      <c r="C199" s="8" t="str">
        <f t="shared" si="1"/>
        <v>Sharon Butler</v>
      </c>
    </row>
    <row r="200" spans="1:3">
      <c r="A200" s="7"/>
      <c r="B200" s="7" t="str">
        <v>Nancy Collins</v>
      </c>
      <c r="C200" s="8" t="str">
        <f t="shared" ca="1" si="1"/>
        <v>No match</v>
      </c>
    </row>
    <row r="201" spans="1:3">
      <c r="A201" s="7"/>
      <c r="B201" s="7" t="str">
        <v>James Johnson</v>
      </c>
      <c r="C201" s="8" t="str">
        <f t="shared" ca="1" si="1"/>
        <v>No match</v>
      </c>
    </row>
    <row r="202" spans="1:3">
      <c r="A202" s="7"/>
      <c r="B202" s="7" t="str">
        <v>Robert Thomas</v>
      </c>
      <c r="C202" s="8" t="str">
        <f t="shared" ca="1" si="1"/>
        <v>No match</v>
      </c>
    </row>
    <row r="203" spans="1:3">
      <c r="A203" s="7"/>
      <c r="B203" s="7" t="str">
        <v>Michelle Rogers</v>
      </c>
      <c r="C203" s="8" t="str">
        <f t="shared" ca="1" si="1"/>
        <v>No match</v>
      </c>
    </row>
    <row r="204" spans="1:3">
      <c r="A204" s="7"/>
      <c r="B204" s="7" t="str">
        <v>Douglas Watson</v>
      </c>
      <c r="C204" s="8" t="str">
        <f t="shared" ca="1" si="1"/>
        <v>No match</v>
      </c>
    </row>
    <row r="205" spans="1:3">
      <c r="A205" s="7"/>
      <c r="B205" s="7" t="str">
        <v>Ruth Brooks</v>
      </c>
      <c r="C205" s="8" t="str">
        <f t="shared" ca="1" si="1"/>
        <v>No match</v>
      </c>
    </row>
    <row r="206" spans="1:3">
      <c r="A206" s="7"/>
      <c r="B206" s="7" t="str">
        <v>Richard Lee</v>
      </c>
      <c r="C206" s="8" t="str">
        <f t="shared" ca="1" si="1"/>
        <v>No match</v>
      </c>
    </row>
    <row r="207" spans="1:3">
      <c r="A207" s="7"/>
      <c r="B207" s="7" t="str">
        <v>Arthur Edwards</v>
      </c>
      <c r="C207" s="8" t="str">
        <f t="shared" ca="1" si="1"/>
        <v>No match</v>
      </c>
    </row>
    <row r="208" spans="1:3">
      <c r="A208" s="7"/>
      <c r="B208" s="7" t="str">
        <v>Dennis Gray</v>
      </c>
      <c r="C208" s="8" t="str">
        <f t="shared" ca="1" si="1"/>
        <v>No match</v>
      </c>
    </row>
    <row r="209" spans="1:6">
      <c r="A209" s="7"/>
      <c r="B209" s="7" t="str">
        <v>Sharon Butler</v>
      </c>
      <c r="C209" s="8" t="str">
        <f t="shared" ca="1" si="1"/>
        <v>No match</v>
      </c>
    </row>
    <row r="211" spans="1:6">
      <c r="A211" s="77" t="s">
        <v>423</v>
      </c>
      <c r="B211" s="77"/>
      <c r="C211" s="77"/>
      <c r="D211" s="77"/>
    </row>
    <row r="212" spans="1:6">
      <c r="A212" s="21" t="s">
        <v>424</v>
      </c>
      <c r="B212" s="21" t="s">
        <v>425</v>
      </c>
      <c r="C212" s="20" t="s">
        <v>426</v>
      </c>
      <c r="D212" s="21" t="s">
        <v>427</v>
      </c>
      <c r="F212" s="72"/>
    </row>
    <row r="213" spans="1:6">
      <c r="A213" s="7" t="str">
        <f>'Raw data'!D2</f>
        <v>Paul Baker</v>
      </c>
      <c r="B213" s="7" t="str">
        <f>LEFT(A213,1)&amp;"."&amp;MID(A213,FIND(" ",A213)+1,1)&amp;"."</f>
        <v>P.B.</v>
      </c>
      <c r="C213" s="8" t="str">
        <f>'Raw data'!F2</f>
        <v>Monitor</v>
      </c>
      <c r="D213" s="7" t="str">
        <f>UPPER(LEFT(C213,3))</f>
        <v>MON</v>
      </c>
    </row>
    <row r="214" spans="1:6">
      <c r="A214" s="7" t="str">
        <f>'Raw data'!D3</f>
        <v>Joseph Jackson</v>
      </c>
      <c r="B214" s="7" t="str">
        <f t="shared" ref="B214:B230" si="2">LEFT(A214,1)&amp;"."&amp;MID(A214,FIND(" ",A214)+1,1)&amp;"."</f>
        <v>J.J.</v>
      </c>
      <c r="C214" s="8" t="str">
        <f>'Raw data'!F3</f>
        <v>Monitor</v>
      </c>
      <c r="D214" s="7" t="str">
        <f t="shared" ref="D214:D230" si="3">UPPER(LEFT(C214,3))</f>
        <v>MON</v>
      </c>
    </row>
    <row r="215" spans="1:6">
      <c r="A215" s="7" t="str">
        <f>'Raw data'!D4</f>
        <v>Kevin Scott</v>
      </c>
      <c r="B215" s="7" t="str">
        <f t="shared" si="2"/>
        <v>K.S.</v>
      </c>
      <c r="C215" s="8" t="str">
        <f>'Raw data'!F4</f>
        <v>Blender</v>
      </c>
      <c r="D215" s="7" t="str">
        <f t="shared" si="3"/>
        <v>BLE</v>
      </c>
    </row>
    <row r="216" spans="1:6">
      <c r="A216" s="7" t="str">
        <f>'Raw data'!D5</f>
        <v>Kathleen Bennett</v>
      </c>
      <c r="B216" s="7" t="str">
        <f t="shared" si="2"/>
        <v>K.B.</v>
      </c>
      <c r="C216" s="8" t="str">
        <f>'Raw data'!F5</f>
        <v>Blender</v>
      </c>
      <c r="D216" s="7" t="str">
        <f t="shared" si="3"/>
        <v>BLE</v>
      </c>
    </row>
    <row r="217" spans="1:6">
      <c r="A217" s="7" t="str">
        <f>'Raw data'!D6</f>
        <v>Michael Brown</v>
      </c>
      <c r="B217" s="7" t="str">
        <f t="shared" si="2"/>
        <v>M.B.</v>
      </c>
      <c r="C217" s="8" t="str">
        <f>'Raw data'!F6</f>
        <v>Bookshelf</v>
      </c>
      <c r="D217" s="7" t="str">
        <f t="shared" si="3"/>
        <v>BOO</v>
      </c>
    </row>
    <row r="218" spans="1:6">
      <c r="A218" s="7" t="str">
        <f>'Raw data'!D7</f>
        <v>Dorothy Nelson</v>
      </c>
      <c r="B218" s="7" t="str">
        <f t="shared" si="2"/>
        <v>D.N.</v>
      </c>
      <c r="C218" s="8" t="str">
        <f>'Raw data'!F7</f>
        <v>Blender</v>
      </c>
      <c r="D218" s="7" t="str">
        <f t="shared" si="3"/>
        <v>BLE</v>
      </c>
    </row>
    <row r="219" spans="1:6">
      <c r="A219" s="7" t="str">
        <f>'Raw data'!D8</f>
        <v>Dorothy Nelson</v>
      </c>
      <c r="B219" s="7" t="str">
        <f t="shared" si="2"/>
        <v>D.N.</v>
      </c>
      <c r="C219" s="8" t="str">
        <f>'Raw data'!F8</f>
        <v>Headphones</v>
      </c>
      <c r="D219" s="7" t="str">
        <f t="shared" si="3"/>
        <v>HEA</v>
      </c>
    </row>
    <row r="220" spans="1:6">
      <c r="A220" s="7" t="str">
        <f>'Raw data'!D9</f>
        <v>Charles Allen</v>
      </c>
      <c r="B220" s="7" t="str">
        <f t="shared" si="2"/>
        <v>C.A.</v>
      </c>
      <c r="C220" s="8" t="str">
        <f>'Raw data'!F9</f>
        <v>Blender</v>
      </c>
      <c r="D220" s="7" t="str">
        <f t="shared" si="3"/>
        <v>BLE</v>
      </c>
    </row>
    <row r="221" spans="1:6">
      <c r="A221" s="7" t="str">
        <f>'Raw data'!D10</f>
        <v>Robert Thomas</v>
      </c>
      <c r="B221" s="7" t="str">
        <f t="shared" si="2"/>
        <v>R.T.</v>
      </c>
      <c r="C221" s="8" t="str">
        <f>'Raw data'!F10</f>
        <v>Laptop</v>
      </c>
      <c r="D221" s="7" t="str">
        <f t="shared" si="3"/>
        <v>LAP</v>
      </c>
    </row>
    <row r="222" spans="1:6">
      <c r="A222" s="7" t="str">
        <f>'Raw data'!D11</f>
        <v>Karen Hill</v>
      </c>
      <c r="B222" s="7" t="str">
        <f t="shared" si="2"/>
        <v>K.H.</v>
      </c>
      <c r="C222" s="8" t="str">
        <f>'Raw data'!F11</f>
        <v>Blender</v>
      </c>
      <c r="D222" s="7" t="str">
        <f t="shared" si="3"/>
        <v>BLE</v>
      </c>
    </row>
    <row r="223" spans="1:6">
      <c r="A223" s="7" t="str">
        <f>'Raw data'!D12</f>
        <v>Susan Green</v>
      </c>
      <c r="B223" s="7" t="str">
        <f t="shared" si="2"/>
        <v>S.G.</v>
      </c>
      <c r="C223" s="8" t="str">
        <f>'Raw data'!F12</f>
        <v>Bookshelf</v>
      </c>
      <c r="D223" s="7" t="str">
        <f t="shared" si="3"/>
        <v>BOO</v>
      </c>
    </row>
    <row r="224" spans="1:6">
      <c r="A224" s="7" t="str">
        <f>'Raw data'!D13</f>
        <v>Kathleen Bennett</v>
      </c>
      <c r="B224" s="7" t="str">
        <f t="shared" si="2"/>
        <v>K.B.</v>
      </c>
      <c r="C224" s="8" t="str">
        <f>'Raw data'!F13</f>
        <v>Bookshelf</v>
      </c>
      <c r="D224" s="7" t="str">
        <f t="shared" si="3"/>
        <v>BOO</v>
      </c>
    </row>
    <row r="225" spans="1:4">
      <c r="A225" s="7" t="str">
        <f>'Raw data'!D14</f>
        <v>Peter Richardson</v>
      </c>
      <c r="B225" s="7" t="str">
        <f t="shared" si="2"/>
        <v>P.R.</v>
      </c>
      <c r="C225" s="8" t="str">
        <f>'Raw data'!F14</f>
        <v>Bookshelf</v>
      </c>
      <c r="D225" s="7" t="str">
        <f t="shared" si="3"/>
        <v>BOO</v>
      </c>
    </row>
    <row r="226" spans="1:4">
      <c r="A226" s="7" t="str">
        <f>'Raw data'!D15</f>
        <v>Dennis Gray</v>
      </c>
      <c r="B226" s="7" t="str">
        <f t="shared" si="2"/>
        <v>D.G.</v>
      </c>
      <c r="C226" s="8" t="str">
        <f>'Raw data'!F15</f>
        <v>Blender</v>
      </c>
      <c r="D226" s="7" t="str">
        <f t="shared" si="3"/>
        <v>BLE</v>
      </c>
    </row>
    <row r="227" spans="1:4">
      <c r="A227" s="7" t="str">
        <f>'Raw data'!D16</f>
        <v>Michelle Rogers</v>
      </c>
      <c r="B227" s="7" t="str">
        <f t="shared" si="2"/>
        <v>M.R.</v>
      </c>
      <c r="C227" s="8" t="str">
        <f>'Raw data'!F16</f>
        <v>Smartphone</v>
      </c>
      <c r="D227" s="7" t="str">
        <f t="shared" si="3"/>
        <v>SMA</v>
      </c>
    </row>
    <row r="228" spans="1:4">
      <c r="A228" s="7" t="str">
        <f>'Raw data'!D17</f>
        <v>George Adams</v>
      </c>
      <c r="B228" s="7" t="str">
        <f t="shared" si="2"/>
        <v>G.A.</v>
      </c>
      <c r="C228" s="8" t="str">
        <f>'Raw data'!F17</f>
        <v>Laptop</v>
      </c>
      <c r="D228" s="7" t="str">
        <f t="shared" si="3"/>
        <v>LAP</v>
      </c>
    </row>
    <row r="229" spans="1:4">
      <c r="A229" s="7" t="str">
        <f>'Raw data'!D18</f>
        <v>Mark Carter</v>
      </c>
      <c r="B229" s="7" t="str">
        <f t="shared" si="2"/>
        <v>M.C.</v>
      </c>
      <c r="C229" s="8" t="str">
        <f>'Raw data'!F18</f>
        <v>Bookshelf</v>
      </c>
      <c r="D229" s="7" t="str">
        <f t="shared" si="3"/>
        <v>BOO</v>
      </c>
    </row>
    <row r="230" spans="1:4">
      <c r="A230" s="7" t="str">
        <f>'Raw data'!D19</f>
        <v>Maria Garcia</v>
      </c>
      <c r="B230" s="7" t="str">
        <f t="shared" si="2"/>
        <v>M.G.</v>
      </c>
      <c r="C230" s="8" t="str">
        <f>'Raw data'!F19</f>
        <v>Smartphone</v>
      </c>
      <c r="D230" s="7" t="str">
        <f t="shared" si="3"/>
        <v>SMA</v>
      </c>
    </row>
    <row r="232" spans="1:4">
      <c r="A232" s="77" t="s">
        <v>428</v>
      </c>
      <c r="B232" s="77"/>
    </row>
    <row r="233" spans="1:4">
      <c r="A233" s="7" t="s">
        <v>429</v>
      </c>
      <c r="B233" s="12">
        <f ca="1">NOW()</f>
        <v>46159.602401041666</v>
      </c>
    </row>
  </sheetData>
  <mergeCells count="8">
    <mergeCell ref="A211:D211"/>
    <mergeCell ref="A232:B232"/>
    <mergeCell ref="A15:C15"/>
    <mergeCell ref="A1:B1"/>
    <mergeCell ref="A7:B7"/>
    <mergeCell ref="A167:C167"/>
    <mergeCell ref="A69:P69"/>
    <mergeCell ref="A70:P70"/>
  </mergeCells>
  <conditionalFormatting sqref="C17:C66">
    <cfRule type="iconSet" priority="2">
      <iconSet iconSet="3Arrows">
        <cfvo type="percent" val="0"/>
        <cfvo type="num" val="2000"/>
        <cfvo type="num" val="5000"/>
      </iconSet>
    </cfRule>
  </conditionalFormatting>
  <conditionalFormatting sqref="B17:B66">
    <cfRule type="iconSet" priority="1">
      <iconSet iconSet="3Arrows">
        <cfvo type="percent" val="0"/>
        <cfvo type="num" val="2000"/>
        <cfvo type="num" val="5000"/>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B6FAA-7CE0-4DE0-B894-F04C9DF09C52}">
  <dimension ref="A1:B18"/>
  <sheetViews>
    <sheetView workbookViewId="0">
      <selection activeCell="V27" sqref="V27"/>
    </sheetView>
  </sheetViews>
  <sheetFormatPr defaultRowHeight="14.4"/>
  <cols>
    <col min="1" max="1" width="17" bestFit="1" customWidth="1"/>
    <col min="2" max="2" width="11.88671875" bestFit="1" customWidth="1"/>
  </cols>
  <sheetData>
    <row r="1" spans="1:2">
      <c r="A1" s="82" t="s">
        <v>430</v>
      </c>
      <c r="B1" s="82"/>
    </row>
    <row r="3" spans="1:2">
      <c r="A3" s="83" t="s">
        <v>431</v>
      </c>
      <c r="B3" s="83"/>
    </row>
    <row r="4" spans="1:2">
      <c r="A4" s="44" t="s">
        <v>432</v>
      </c>
      <c r="B4" s="45">
        <v>599</v>
      </c>
    </row>
    <row r="5" spans="1:2">
      <c r="A5" s="44" t="s">
        <v>433</v>
      </c>
      <c r="B5" s="46">
        <v>10</v>
      </c>
    </row>
    <row r="6" spans="1:2">
      <c r="A6" s="44" t="s">
        <v>434</v>
      </c>
      <c r="B6" s="47">
        <v>0.2</v>
      </c>
    </row>
    <row r="7" spans="1:2">
      <c r="A7" s="44" t="s">
        <v>435</v>
      </c>
      <c r="B7" s="45">
        <f>B4*B5*(1-B6)</f>
        <v>4792</v>
      </c>
    </row>
    <row r="11" spans="1:2">
      <c r="A11" s="83" t="s">
        <v>478</v>
      </c>
      <c r="B11" s="83"/>
    </row>
    <row r="12" spans="1:2">
      <c r="A12" s="44" t="s">
        <v>432</v>
      </c>
      <c r="B12" s="45">
        <v>500</v>
      </c>
    </row>
    <row r="13" spans="1:2">
      <c r="A13" s="44" t="s">
        <v>479</v>
      </c>
      <c r="B13" s="49">
        <v>1112</v>
      </c>
    </row>
    <row r="14" spans="1:2">
      <c r="A14" s="44" t="s">
        <v>434</v>
      </c>
      <c r="B14" s="49">
        <v>0.1</v>
      </c>
    </row>
    <row r="15" spans="1:2">
      <c r="A15" s="44" t="s">
        <v>480</v>
      </c>
      <c r="B15" s="45">
        <v>50000</v>
      </c>
    </row>
    <row r="16" spans="1:2">
      <c r="A16" s="44" t="s">
        <v>435</v>
      </c>
      <c r="B16" s="45">
        <f>B12*B13*(1-B14)</f>
        <v>500400</v>
      </c>
    </row>
    <row r="18" spans="1:1">
      <c r="A18" s="48"/>
    </row>
  </sheetData>
  <scenarios current="2" show="2" sqref="B7">
    <scenario name="Best case" locked="1" count="3" user="harshal vora">
      <inputCells r="B4" val="1100" numFmtId="167"/>
      <inputCells r="B5" val="20" numFmtId="2"/>
      <inputCells r="B6" val="0.1"/>
    </scenario>
    <scenario name="Base case" locked="1" count="3" user="harshal vora">
      <inputCells r="B4" val="899" numFmtId="167"/>
      <inputCells r="B5" val="10" numFmtId="2"/>
      <inputCells r="B6" val="0.1"/>
    </scenario>
    <scenario name="Worst case" locked="1" count="3" user="harshal vora">
      <inputCells r="B4" val="599" numFmtId="167"/>
      <inputCells r="B5" val="5" numFmtId="2"/>
      <inputCells r="B6" val="0.2"/>
    </scenario>
  </scenarios>
  <mergeCells count="3">
    <mergeCell ref="A1:B1"/>
    <mergeCell ref="A3:B3"/>
    <mergeCell ref="A11:B1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026D2-8462-4D35-8588-B6E9F02AEC43}">
  <sheetPr>
    <outlinePr summaryBelow="0"/>
  </sheetPr>
  <dimension ref="B1:G13"/>
  <sheetViews>
    <sheetView showGridLines="0" workbookViewId="0">
      <selection activeCell="U26" sqref="U26"/>
    </sheetView>
  </sheetViews>
  <sheetFormatPr defaultRowHeight="14.4" outlineLevelRow="1" outlineLevelCol="1"/>
  <cols>
    <col min="3" max="3" width="5.109375" bestFit="1" customWidth="1"/>
    <col min="4" max="7" width="13.109375" bestFit="1" customWidth="1" outlineLevel="1"/>
  </cols>
  <sheetData>
    <row r="1" spans="2:7" ht="15" thickBot="1"/>
    <row r="2" spans="2:7" ht="15.6">
      <c r="B2" s="33" t="s">
        <v>471</v>
      </c>
      <c r="C2" s="33"/>
      <c r="D2" s="38"/>
      <c r="E2" s="38"/>
      <c r="F2" s="38"/>
      <c r="G2" s="38"/>
    </row>
    <row r="3" spans="2:7" ht="15.6" collapsed="1">
      <c r="B3" s="32"/>
      <c r="C3" s="32"/>
      <c r="D3" s="39" t="s">
        <v>473</v>
      </c>
      <c r="E3" s="39" t="s">
        <v>468</v>
      </c>
      <c r="F3" s="39" t="s">
        <v>469</v>
      </c>
      <c r="G3" s="39" t="s">
        <v>470</v>
      </c>
    </row>
    <row r="4" spans="2:7" hidden="1" outlineLevel="1">
      <c r="B4" s="35"/>
      <c r="C4" s="35"/>
      <c r="D4" s="27"/>
      <c r="E4" s="43"/>
      <c r="F4" s="43"/>
      <c r="G4" s="43"/>
    </row>
    <row r="5" spans="2:7">
      <c r="B5" s="36" t="s">
        <v>472</v>
      </c>
      <c r="C5" s="36"/>
      <c r="D5" s="34"/>
      <c r="E5" s="34"/>
      <c r="F5" s="34"/>
      <c r="G5" s="34"/>
    </row>
    <row r="6" spans="2:7" outlineLevel="1">
      <c r="B6" s="35"/>
      <c r="C6" s="35" t="s">
        <v>464</v>
      </c>
      <c r="D6" s="28">
        <v>599</v>
      </c>
      <c r="E6" s="40">
        <v>1100</v>
      </c>
      <c r="F6" s="40">
        <v>899</v>
      </c>
      <c r="G6" s="40">
        <v>599</v>
      </c>
    </row>
    <row r="7" spans="2:7" outlineLevel="1">
      <c r="B7" s="35"/>
      <c r="C7" s="35" t="s">
        <v>465</v>
      </c>
      <c r="D7" s="29">
        <v>5</v>
      </c>
      <c r="E7" s="41">
        <v>20</v>
      </c>
      <c r="F7" s="41">
        <v>10</v>
      </c>
      <c r="G7" s="41">
        <v>5</v>
      </c>
    </row>
    <row r="8" spans="2:7" outlineLevel="1">
      <c r="B8" s="35"/>
      <c r="C8" s="35" t="s">
        <v>466</v>
      </c>
      <c r="D8" s="27">
        <v>0.2</v>
      </c>
      <c r="E8" s="42">
        <v>0.1</v>
      </c>
      <c r="F8" s="42">
        <v>0.1</v>
      </c>
      <c r="G8" s="42">
        <v>0.2</v>
      </c>
    </row>
    <row r="9" spans="2:7">
      <c r="B9" s="36" t="s">
        <v>474</v>
      </c>
      <c r="C9" s="36"/>
      <c r="D9" s="34"/>
      <c r="E9" s="34"/>
      <c r="F9" s="34"/>
      <c r="G9" s="34"/>
    </row>
    <row r="10" spans="2:7" ht="15" outlineLevel="1" thickBot="1">
      <c r="B10" s="37"/>
      <c r="C10" s="37" t="s">
        <v>467</v>
      </c>
      <c r="D10" s="31">
        <v>2396</v>
      </c>
      <c r="E10" s="31">
        <v>19800</v>
      </c>
      <c r="F10" s="31">
        <v>8091</v>
      </c>
      <c r="G10" s="31">
        <v>2396</v>
      </c>
    </row>
    <row r="11" spans="2:7">
      <c r="B11" t="s">
        <v>475</v>
      </c>
    </row>
    <row r="12" spans="2:7">
      <c r="B12" t="s">
        <v>476</v>
      </c>
    </row>
    <row r="13" spans="2:7">
      <c r="B13" t="s">
        <v>477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6D0F7-D27D-418A-B1B2-B07B0F010744}">
  <dimension ref="A1:I18"/>
  <sheetViews>
    <sheetView workbookViewId="0">
      <selection activeCell="S28" sqref="S28"/>
    </sheetView>
  </sheetViews>
  <sheetFormatPr defaultRowHeight="14.4"/>
  <cols>
    <col min="1" max="1" width="17.44140625" bestFit="1" customWidth="1"/>
    <col min="2" max="2" width="12.6640625" bestFit="1" customWidth="1"/>
    <col min="3" max="3" width="13.44140625" bestFit="1" customWidth="1"/>
    <col min="4" max="4" width="12.6640625" bestFit="1" customWidth="1"/>
    <col min="5" max="5" width="12" bestFit="1" customWidth="1"/>
    <col min="6" max="6" width="12.6640625" bestFit="1" customWidth="1"/>
    <col min="7" max="7" width="12" bestFit="1" customWidth="1"/>
    <col min="8" max="8" width="12.6640625" bestFit="1" customWidth="1"/>
    <col min="9" max="9" width="12.109375" bestFit="1" customWidth="1"/>
  </cols>
  <sheetData>
    <row r="1" spans="1:9">
      <c r="A1" t="s">
        <v>481</v>
      </c>
    </row>
    <row r="2" spans="1:9" ht="15" thickBot="1"/>
    <row r="3" spans="1:9">
      <c r="A3" s="51" t="s">
        <v>482</v>
      </c>
      <c r="B3" s="51"/>
    </row>
    <row r="4" spans="1:9">
      <c r="A4" s="27" t="s">
        <v>483</v>
      </c>
      <c r="B4" s="27">
        <v>0.83544893212536542</v>
      </c>
    </row>
    <row r="5" spans="1:9">
      <c r="A5" s="27" t="s">
        <v>484</v>
      </c>
      <c r="B5" s="27">
        <v>0.69797491818941348</v>
      </c>
    </row>
    <row r="6" spans="1:9">
      <c r="A6" s="27" t="s">
        <v>485</v>
      </c>
      <c r="B6" s="27">
        <v>0.69675707511759655</v>
      </c>
    </row>
    <row r="7" spans="1:9">
      <c r="A7" s="27" t="s">
        <v>486</v>
      </c>
      <c r="B7" s="27">
        <v>568.54608194947468</v>
      </c>
    </row>
    <row r="8" spans="1:9" ht="15" thickBot="1">
      <c r="A8" s="30" t="s">
        <v>487</v>
      </c>
      <c r="B8" s="30">
        <v>250</v>
      </c>
    </row>
    <row r="10" spans="1:9" ht="15" thickBot="1">
      <c r="A10" t="s">
        <v>488</v>
      </c>
    </row>
    <row r="11" spans="1:9">
      <c r="A11" s="50"/>
      <c r="B11" s="50" t="s">
        <v>493</v>
      </c>
      <c r="C11" s="50" t="s">
        <v>494</v>
      </c>
      <c r="D11" s="50" t="s">
        <v>495</v>
      </c>
      <c r="E11" s="50" t="s">
        <v>496</v>
      </c>
      <c r="F11" s="50" t="s">
        <v>497</v>
      </c>
    </row>
    <row r="12" spans="1:9">
      <c r="A12" s="27" t="s">
        <v>489</v>
      </c>
      <c r="B12" s="27">
        <v>1</v>
      </c>
      <c r="C12" s="27">
        <v>185259218.92207199</v>
      </c>
      <c r="D12" s="27">
        <v>185259218.92207199</v>
      </c>
      <c r="E12" s="27">
        <v>573.12385671178106</v>
      </c>
      <c r="F12" s="27">
        <v>2.0274087953767249E-66</v>
      </c>
    </row>
    <row r="13" spans="1:9">
      <c r="A13" s="27" t="s">
        <v>490</v>
      </c>
      <c r="B13" s="27">
        <v>248</v>
      </c>
      <c r="C13" s="27">
        <v>80164672.530424491</v>
      </c>
      <c r="D13" s="27">
        <v>323244.64730009873</v>
      </c>
      <c r="E13" s="27"/>
      <c r="F13" s="27"/>
    </row>
    <row r="14" spans="1:9" ht="15" thickBot="1">
      <c r="A14" s="30" t="s">
        <v>491</v>
      </c>
      <c r="B14" s="30">
        <v>249</v>
      </c>
      <c r="C14" s="30">
        <v>265423891.45249647</v>
      </c>
      <c r="D14" s="30"/>
      <c r="E14" s="30"/>
      <c r="F14" s="30"/>
    </row>
    <row r="15" spans="1:9" ht="15" thickBot="1"/>
    <row r="16" spans="1:9">
      <c r="A16" s="50"/>
      <c r="B16" s="50" t="s">
        <v>498</v>
      </c>
      <c r="C16" s="50" t="s">
        <v>486</v>
      </c>
      <c r="D16" s="50" t="s">
        <v>499</v>
      </c>
      <c r="E16" s="50" t="s">
        <v>500</v>
      </c>
      <c r="F16" s="50" t="s">
        <v>501</v>
      </c>
      <c r="G16" s="50" t="s">
        <v>502</v>
      </c>
      <c r="H16" s="50" t="s">
        <v>503</v>
      </c>
      <c r="I16" s="50" t="s">
        <v>504</v>
      </c>
    </row>
    <row r="17" spans="1:9">
      <c r="A17" s="27" t="s">
        <v>492</v>
      </c>
      <c r="B17" s="27">
        <v>-14.342532990175982</v>
      </c>
      <c r="C17" s="27">
        <v>52.968753308776222</v>
      </c>
      <c r="D17" s="27">
        <v>-0.2707734672660233</v>
      </c>
      <c r="E17" s="27">
        <v>0.78679048926857054</v>
      </c>
      <c r="F17" s="27">
        <v>-118.66849991006868</v>
      </c>
      <c r="G17" s="27">
        <v>89.983433929716711</v>
      </c>
      <c r="H17" s="27">
        <v>-118.66849991006868</v>
      </c>
      <c r="I17" s="27">
        <v>89.983433929716711</v>
      </c>
    </row>
    <row r="18" spans="1:9" ht="15" thickBot="1">
      <c r="A18" s="30" t="s">
        <v>505</v>
      </c>
      <c r="B18" s="30">
        <v>3.1385459028219134</v>
      </c>
      <c r="C18" s="30">
        <v>0.13110046783283946</v>
      </c>
      <c r="D18" s="30">
        <v>23.940005361565433</v>
      </c>
      <c r="E18" s="30">
        <v>2.0274087953764941E-66</v>
      </c>
      <c r="F18" s="30">
        <v>2.8803336131993609</v>
      </c>
      <c r="G18" s="30">
        <v>3.3967581924444659</v>
      </c>
      <c r="H18" s="30">
        <v>2.8803336131993609</v>
      </c>
      <c r="I18" s="30">
        <v>3.3967581924444659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FF61C-49BF-4DFF-8B4C-1EF1687C413D}">
  <dimension ref="A1:B43"/>
  <sheetViews>
    <sheetView workbookViewId="0">
      <selection activeCell="T28" sqref="T28"/>
    </sheetView>
  </sheetViews>
  <sheetFormatPr defaultColWidth="9.109375" defaultRowHeight="14.4"/>
  <cols>
    <col min="1" max="1" width="11.44140625" bestFit="1" customWidth="1"/>
    <col min="2" max="3" width="20.44140625" bestFit="1" customWidth="1"/>
  </cols>
  <sheetData>
    <row r="1" spans="1:2">
      <c r="A1" s="76" t="s">
        <v>436</v>
      </c>
      <c r="B1" s="76"/>
    </row>
    <row r="2" spans="1:2">
      <c r="A2" s="3" t="s">
        <v>10</v>
      </c>
      <c r="B2" t="s">
        <v>437</v>
      </c>
    </row>
    <row r="3" spans="1:2">
      <c r="A3" t="s">
        <v>25</v>
      </c>
      <c r="B3" s="22">
        <v>41288.340000000018</v>
      </c>
    </row>
    <row r="4" spans="1:2">
      <c r="A4" t="s">
        <v>67</v>
      </c>
      <c r="B4" s="22">
        <v>59288.389999999992</v>
      </c>
    </row>
    <row r="5" spans="1:2">
      <c r="A5" t="s">
        <v>44</v>
      </c>
      <c r="B5" s="22">
        <v>50808.310000000012</v>
      </c>
    </row>
    <row r="6" spans="1:2">
      <c r="A6" t="s">
        <v>39</v>
      </c>
      <c r="B6" s="22">
        <v>36398.750000000007</v>
      </c>
    </row>
    <row r="7" spans="1:2">
      <c r="A7" t="s">
        <v>54</v>
      </c>
      <c r="B7" s="22">
        <v>41408.680000000015</v>
      </c>
    </row>
    <row r="8" spans="1:2">
      <c r="A8" t="s">
        <v>438</v>
      </c>
      <c r="B8" s="22">
        <v>229192.47000000006</v>
      </c>
    </row>
    <row r="16" spans="1:2">
      <c r="A16" s="76" t="s">
        <v>439</v>
      </c>
      <c r="B16" s="76"/>
    </row>
    <row r="17" spans="1:2">
      <c r="A17" s="3" t="s">
        <v>16</v>
      </c>
      <c r="B17" t="s">
        <v>437</v>
      </c>
    </row>
    <row r="18" spans="1:2">
      <c r="A18" t="s">
        <v>440</v>
      </c>
      <c r="B18" s="22">
        <v>20919.330000000002</v>
      </c>
    </row>
    <row r="19" spans="1:2">
      <c r="A19" t="s">
        <v>441</v>
      </c>
      <c r="B19" s="22">
        <v>17039.349999999999</v>
      </c>
    </row>
    <row r="20" spans="1:2">
      <c r="A20" t="s">
        <v>442</v>
      </c>
      <c r="B20" s="22">
        <v>19299.45</v>
      </c>
    </row>
    <row r="21" spans="1:2">
      <c r="A21" t="s">
        <v>443</v>
      </c>
      <c r="B21" s="22">
        <v>18479.399999999994</v>
      </c>
    </row>
    <row r="22" spans="1:2">
      <c r="A22" t="s">
        <v>444</v>
      </c>
      <c r="B22" s="22">
        <v>15759.429999999997</v>
      </c>
    </row>
    <row r="23" spans="1:2">
      <c r="A23" t="s">
        <v>445</v>
      </c>
      <c r="B23" s="22">
        <v>12989.509999999997</v>
      </c>
    </row>
    <row r="24" spans="1:2">
      <c r="A24" t="s">
        <v>446</v>
      </c>
      <c r="B24" s="22">
        <v>20609.52</v>
      </c>
    </row>
    <row r="25" spans="1:2">
      <c r="A25" t="s">
        <v>447</v>
      </c>
      <c r="B25" s="22">
        <v>12309.439999999999</v>
      </c>
    </row>
    <row r="26" spans="1:2">
      <c r="A26" t="s">
        <v>448</v>
      </c>
      <c r="B26" s="22">
        <v>23039.3</v>
      </c>
    </row>
    <row r="27" spans="1:2">
      <c r="A27" t="s">
        <v>449</v>
      </c>
      <c r="B27" s="22">
        <v>25799.15</v>
      </c>
    </row>
    <row r="28" spans="1:2">
      <c r="A28" t="s">
        <v>450</v>
      </c>
      <c r="B28" s="22">
        <v>16069.379999999997</v>
      </c>
    </row>
    <row r="29" spans="1:2">
      <c r="A29" t="s">
        <v>451</v>
      </c>
      <c r="B29" s="22">
        <v>19899.379999999997</v>
      </c>
    </row>
    <row r="30" spans="1:2">
      <c r="A30" t="s">
        <v>452</v>
      </c>
      <c r="B30" s="22">
        <v>6979.829999999999</v>
      </c>
    </row>
    <row r="31" spans="1:2">
      <c r="A31" t="s">
        <v>438</v>
      </c>
      <c r="B31" s="22">
        <v>229192.46999999997</v>
      </c>
    </row>
    <row r="38" spans="1:2">
      <c r="A38" s="76" t="s">
        <v>453</v>
      </c>
      <c r="B38" s="76"/>
    </row>
    <row r="39" spans="1:2">
      <c r="A39" s="3" t="s">
        <v>6</v>
      </c>
      <c r="B39" t="s">
        <v>437</v>
      </c>
    </row>
    <row r="40" spans="1:2">
      <c r="A40" t="s">
        <v>37</v>
      </c>
      <c r="B40" s="22">
        <v>8338.7399999999961</v>
      </c>
    </row>
    <row r="41" spans="1:2">
      <c r="A41" t="s">
        <v>23</v>
      </c>
      <c r="B41" s="22">
        <v>171756.05000000013</v>
      </c>
    </row>
    <row r="42" spans="1:2">
      <c r="A42" t="s">
        <v>50</v>
      </c>
      <c r="B42" s="22">
        <v>49097.680000000015</v>
      </c>
    </row>
    <row r="43" spans="1:2">
      <c r="A43" t="s">
        <v>438</v>
      </c>
      <c r="B43" s="22">
        <v>229192.47000000015</v>
      </c>
    </row>
  </sheetData>
  <mergeCells count="3">
    <mergeCell ref="A1:B1"/>
    <mergeCell ref="A16:B16"/>
    <mergeCell ref="A38:B38"/>
  </mergeCell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868B9-8399-4A83-812F-433A0C7579D1}">
  <dimension ref="A1:H26"/>
  <sheetViews>
    <sheetView showGridLines="0" showRowColHeaders="0" workbookViewId="0">
      <selection activeCell="P2" sqref="P2"/>
    </sheetView>
  </sheetViews>
  <sheetFormatPr defaultRowHeight="14.4"/>
  <cols>
    <col min="1" max="1" width="19.5546875" customWidth="1"/>
    <col min="2" max="2" width="20.44140625" bestFit="1" customWidth="1"/>
    <col min="3" max="3" width="18.5546875" bestFit="1" customWidth="1"/>
    <col min="4" max="4" width="13.109375" bestFit="1" customWidth="1"/>
    <col min="5" max="5" width="20.44140625" bestFit="1" customWidth="1"/>
  </cols>
  <sheetData>
    <row r="1" spans="1:8" ht="14.4" customHeight="1">
      <c r="A1" s="84" t="s">
        <v>506</v>
      </c>
      <c r="B1" s="85"/>
      <c r="C1" s="85"/>
      <c r="D1" s="85"/>
      <c r="E1" s="85"/>
      <c r="F1" s="85"/>
      <c r="G1" s="85"/>
      <c r="H1" s="86"/>
    </row>
    <row r="2" spans="1:8" ht="14.4" customHeight="1">
      <c r="A2" s="60"/>
      <c r="B2" s="52"/>
      <c r="C2" s="53"/>
      <c r="D2" s="52"/>
      <c r="E2" s="52"/>
      <c r="F2" s="53"/>
      <c r="G2" s="53"/>
      <c r="H2" s="63"/>
    </row>
    <row r="3" spans="1:8">
      <c r="A3" s="84" t="s">
        <v>507</v>
      </c>
      <c r="B3" s="85"/>
      <c r="C3" s="85"/>
      <c r="D3" s="85"/>
      <c r="E3" s="85"/>
      <c r="F3" s="85"/>
      <c r="G3" s="85"/>
      <c r="H3" s="86"/>
    </row>
    <row r="4" spans="1:8">
      <c r="A4" s="61"/>
      <c r="B4" s="54" t="s">
        <v>460</v>
      </c>
      <c r="C4" s="55">
        <f>SUM('Raw data'!N2:N251)</f>
        <v>229192.47000000032</v>
      </c>
      <c r="E4" s="53"/>
      <c r="F4" s="53"/>
      <c r="G4" s="53"/>
      <c r="H4" s="63"/>
    </row>
    <row r="5" spans="1:8">
      <c r="A5" s="61"/>
      <c r="B5" s="54" t="s">
        <v>462</v>
      </c>
      <c r="C5" s="55">
        <f>COUNTA('Raw data'!A2:A251)</f>
        <v>250</v>
      </c>
      <c r="E5" s="53"/>
      <c r="F5" s="53"/>
      <c r="G5" s="53"/>
      <c r="H5" s="63"/>
    </row>
    <row r="6" spans="1:8">
      <c r="A6" s="61"/>
      <c r="B6" s="54" t="s">
        <v>461</v>
      </c>
      <c r="C6" s="55">
        <f>AVERAGE('Raw data'!N2:N251)</f>
        <v>916.76988000000131</v>
      </c>
      <c r="E6" s="53"/>
      <c r="F6" s="53"/>
      <c r="G6" s="53"/>
      <c r="H6" s="63"/>
    </row>
    <row r="7" spans="1:8">
      <c r="A7" s="61"/>
      <c r="B7" s="54" t="s">
        <v>463</v>
      </c>
      <c r="C7" s="56">
        <f>COUNTA(_xlfn.UNIQUE('Raw data'!C2:C251))</f>
        <v>50</v>
      </c>
      <c r="E7" s="53"/>
      <c r="F7" s="53"/>
      <c r="G7" s="53"/>
      <c r="H7" s="63"/>
    </row>
    <row r="8" spans="1:8">
      <c r="A8" s="61"/>
      <c r="B8" s="54" t="s">
        <v>508</v>
      </c>
      <c r="C8" s="57" t="str" cm="1">
        <f t="array" ref="C8">INDEX('Raw data'!F2:F251,MATCH(MAX(COUNTIF('Raw data'!F2:F251,'Raw data'!F2:F251)),COUNTIF('Raw data'!F2:F251,'Raw data'!F2:F251),0))</f>
        <v>Bookshelf</v>
      </c>
      <c r="E8" s="53"/>
      <c r="F8" s="53"/>
      <c r="G8" s="53"/>
      <c r="H8" s="63"/>
    </row>
    <row r="9" spans="1:8">
      <c r="A9" s="61"/>
      <c r="B9" s="53"/>
      <c r="C9" s="53"/>
      <c r="D9" s="53"/>
      <c r="E9" s="53"/>
      <c r="F9" s="53"/>
      <c r="G9" s="53"/>
      <c r="H9" s="63"/>
    </row>
    <row r="10" spans="1:8">
      <c r="A10" s="84" t="s">
        <v>509</v>
      </c>
      <c r="B10" s="85"/>
      <c r="C10" s="85"/>
      <c r="D10" s="85"/>
      <c r="E10" s="85"/>
      <c r="F10" s="85"/>
      <c r="G10" s="85"/>
      <c r="H10" s="86"/>
    </row>
    <row r="11" spans="1:8">
      <c r="A11" s="61"/>
      <c r="B11" s="54" t="s">
        <v>10</v>
      </c>
      <c r="C11" s="54" t="s">
        <v>460</v>
      </c>
      <c r="D11" s="58" t="s">
        <v>510</v>
      </c>
      <c r="E11" s="53"/>
      <c r="F11" s="53"/>
      <c r="G11" s="53"/>
      <c r="H11" s="63"/>
    </row>
    <row r="12" spans="1:8">
      <c r="A12" s="61"/>
      <c r="B12" s="54" t="s">
        <v>25</v>
      </c>
      <c r="C12" s="55">
        <f>SUMIF('Raw data'!K:K,"Central",'Raw data'!N:N)</f>
        <v>41288.340000000018</v>
      </c>
      <c r="D12" s="56">
        <f>C12/SUM($C$12:$C$16)*100</f>
        <v>18.014701791904422</v>
      </c>
      <c r="E12" s="53"/>
      <c r="F12" s="53"/>
      <c r="G12" s="53"/>
      <c r="H12" s="63"/>
    </row>
    <row r="13" spans="1:8">
      <c r="A13" s="61"/>
      <c r="B13" s="54" t="s">
        <v>67</v>
      </c>
      <c r="C13" s="55">
        <f>SUMIF('Raw data'!K:K,"East",'Raw data'!N:N)</f>
        <v>59288.389999999992</v>
      </c>
      <c r="D13" s="59">
        <f>C13/SUM($C$12:$C$16)*100</f>
        <v>25.868384768487367</v>
      </c>
      <c r="E13" s="53"/>
      <c r="F13" s="53"/>
      <c r="G13" s="53"/>
      <c r="H13" s="63"/>
    </row>
    <row r="14" spans="1:8">
      <c r="A14" s="61"/>
      <c r="B14" s="54" t="s">
        <v>44</v>
      </c>
      <c r="C14" s="55">
        <f>SUMIF('Raw data'!K:K,"North",'Raw data'!N:N)</f>
        <v>50808.310000000012</v>
      </c>
      <c r="D14" s="56">
        <f>C14/SUM($C$12:$C$16)*100</f>
        <v>22.168402827544899</v>
      </c>
      <c r="E14" s="53"/>
      <c r="F14" s="53"/>
      <c r="G14" s="53"/>
      <c r="H14" s="63"/>
    </row>
    <row r="15" spans="1:8">
      <c r="A15" s="61"/>
      <c r="B15" s="54" t="s">
        <v>39</v>
      </c>
      <c r="C15" s="55">
        <f>SUMIF('Raw data'!K:K,"South",'Raw data'!N:N)</f>
        <v>36398.750000000007</v>
      </c>
      <c r="D15" s="56">
        <f>C15/SUM($C$12:$C$16)*100</f>
        <v>15.881302732153459</v>
      </c>
      <c r="E15" s="53"/>
      <c r="F15" s="53"/>
      <c r="G15" s="53"/>
      <c r="H15" s="63"/>
    </row>
    <row r="16" spans="1:8">
      <c r="A16" s="61"/>
      <c r="B16" s="54" t="s">
        <v>54</v>
      </c>
      <c r="C16" s="55">
        <f>SUMIF('Raw data'!K:K,"West",'Raw data'!N:N)</f>
        <v>41408.680000000015</v>
      </c>
      <c r="D16" s="56">
        <f>C16/SUM($C$12:$C$16)*100</f>
        <v>18.067207879909844</v>
      </c>
      <c r="E16" s="53"/>
      <c r="F16" s="53"/>
      <c r="G16" s="53"/>
      <c r="H16" s="63"/>
    </row>
    <row r="17" spans="1:8">
      <c r="A17" s="61"/>
      <c r="B17" s="53"/>
      <c r="C17" s="53"/>
      <c r="D17" s="53"/>
      <c r="E17" s="53"/>
      <c r="F17" s="53"/>
      <c r="G17" s="53"/>
      <c r="H17" s="63"/>
    </row>
    <row r="18" spans="1:8">
      <c r="A18" s="89" t="s">
        <v>511</v>
      </c>
      <c r="B18" s="89"/>
      <c r="C18" s="89"/>
      <c r="D18" s="89"/>
      <c r="E18" s="89"/>
      <c r="F18" s="89"/>
      <c r="G18" s="89"/>
      <c r="H18" s="89"/>
    </row>
    <row r="19" spans="1:8">
      <c r="A19" s="62">
        <v>1</v>
      </c>
      <c r="B19" s="87" t="s">
        <v>512</v>
      </c>
      <c r="C19" s="87"/>
      <c r="D19" s="87"/>
      <c r="E19" s="87"/>
      <c r="F19" s="87"/>
      <c r="G19" s="87"/>
      <c r="H19" s="63"/>
    </row>
    <row r="20" spans="1:8">
      <c r="A20" s="62">
        <v>2</v>
      </c>
      <c r="B20" s="87" t="s">
        <v>513</v>
      </c>
      <c r="C20" s="87"/>
      <c r="D20" s="87"/>
      <c r="E20" s="87"/>
      <c r="F20" s="87"/>
      <c r="G20" s="87"/>
      <c r="H20" s="63"/>
    </row>
    <row r="21" spans="1:8">
      <c r="A21" s="62">
        <v>3</v>
      </c>
      <c r="B21" s="87" t="s">
        <v>514</v>
      </c>
      <c r="C21" s="87"/>
      <c r="D21" s="87"/>
      <c r="E21" s="87"/>
      <c r="F21" s="87"/>
      <c r="G21" s="87"/>
      <c r="H21" s="63"/>
    </row>
    <row r="22" spans="1:8">
      <c r="A22" s="62">
        <v>4</v>
      </c>
      <c r="B22" s="87" t="s">
        <v>515</v>
      </c>
      <c r="C22" s="87"/>
      <c r="D22" s="87"/>
      <c r="E22" s="87"/>
      <c r="F22" s="87"/>
      <c r="G22" s="87"/>
      <c r="H22" s="63"/>
    </row>
    <row r="23" spans="1:8">
      <c r="A23" s="62">
        <v>5</v>
      </c>
      <c r="B23" s="87" t="s">
        <v>516</v>
      </c>
      <c r="C23" s="87"/>
      <c r="D23" s="87"/>
      <c r="E23" s="87"/>
      <c r="F23" s="87"/>
      <c r="G23" s="87"/>
      <c r="H23" s="63"/>
    </row>
    <row r="24" spans="1:8">
      <c r="A24" s="62">
        <v>6</v>
      </c>
      <c r="B24" s="87" t="s">
        <v>517</v>
      </c>
      <c r="C24" s="87"/>
      <c r="D24" s="87"/>
      <c r="E24" s="87"/>
      <c r="F24" s="87"/>
      <c r="G24" s="87"/>
      <c r="H24" s="63"/>
    </row>
    <row r="25" spans="1:8">
      <c r="A25" s="62">
        <v>7</v>
      </c>
      <c r="B25" s="87" t="s">
        <v>518</v>
      </c>
      <c r="C25" s="87"/>
      <c r="D25" s="87"/>
      <c r="E25" s="87"/>
      <c r="F25" s="87"/>
      <c r="G25" s="87"/>
      <c r="H25" s="63"/>
    </row>
    <row r="26" spans="1:8">
      <c r="A26" s="64">
        <v>8</v>
      </c>
      <c r="B26" s="88" t="s">
        <v>519</v>
      </c>
      <c r="C26" s="88"/>
      <c r="D26" s="88"/>
      <c r="E26" s="88"/>
      <c r="F26" s="88"/>
      <c r="G26" s="88"/>
      <c r="H26" s="65"/>
    </row>
  </sheetData>
  <mergeCells count="12">
    <mergeCell ref="B25:G25"/>
    <mergeCell ref="B26:G26"/>
    <mergeCell ref="A18:H18"/>
    <mergeCell ref="B19:G19"/>
    <mergeCell ref="B20:G20"/>
    <mergeCell ref="B21:G21"/>
    <mergeCell ref="B22:G22"/>
    <mergeCell ref="A3:H3"/>
    <mergeCell ref="A1:H1"/>
    <mergeCell ref="A10:H10"/>
    <mergeCell ref="B23:G23"/>
    <mergeCell ref="B24:G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S1" sqref="S1"/>
    </sheetView>
  </sheetViews>
  <sheetFormatPr defaultColWidth="14.44140625" defaultRowHeight="15" customHeight="1"/>
  <cols>
    <col min="1" max="1" width="13.6640625" customWidth="1"/>
    <col min="2" max="2" width="18" style="5" bestFit="1" customWidth="1"/>
    <col min="3" max="3" width="12.33203125" customWidth="1"/>
    <col min="4" max="4" width="15.88671875" customWidth="1"/>
    <col min="5" max="5" width="10.6640625" customWidth="1"/>
    <col min="6" max="6" width="13.88671875" customWidth="1"/>
    <col min="7" max="7" width="10.44140625" customWidth="1"/>
    <col min="8" max="8" width="8.5546875" customWidth="1"/>
    <col min="9" max="9" width="10" customWidth="1"/>
    <col min="10" max="10" width="16.44140625" customWidth="1"/>
    <col min="11" max="11" width="7.33203125" customWidth="1"/>
    <col min="12" max="12" width="17.88671875" customWidth="1"/>
    <col min="13" max="13" width="18" style="5" bestFit="1" customWidth="1"/>
    <col min="14" max="14" width="13.109375" customWidth="1"/>
    <col min="15" max="15" width="18" style="4" bestFit="1" customWidth="1"/>
    <col min="16" max="16" width="16.44140625" style="4" customWidth="1"/>
    <col min="17" max="17" width="11.109375" customWidth="1"/>
    <col min="18" max="18" width="9.88671875" hidden="1" customWidth="1"/>
    <col min="19" max="26" width="8.6640625" customWidth="1"/>
  </cols>
  <sheetData>
    <row r="1" spans="1:26" ht="21" customHeight="1">
      <c r="A1" s="44" t="s">
        <v>0</v>
      </c>
      <c r="B1" s="66" t="s">
        <v>1</v>
      </c>
      <c r="C1" s="44" t="s">
        <v>2</v>
      </c>
      <c r="D1" s="44" t="s">
        <v>3</v>
      </c>
      <c r="E1" s="44" t="s">
        <v>4</v>
      </c>
      <c r="F1" s="44" t="s">
        <v>5</v>
      </c>
      <c r="G1" s="44" t="s">
        <v>6</v>
      </c>
      <c r="H1" s="44" t="s">
        <v>7</v>
      </c>
      <c r="I1" s="44" t="s">
        <v>8</v>
      </c>
      <c r="J1" s="44" t="s">
        <v>9</v>
      </c>
      <c r="K1" s="44" t="s">
        <v>10</v>
      </c>
      <c r="L1" s="44" t="s">
        <v>11</v>
      </c>
      <c r="M1" s="66" t="s">
        <v>12</v>
      </c>
      <c r="N1" s="44" t="s">
        <v>13</v>
      </c>
      <c r="O1" s="67" t="s">
        <v>14</v>
      </c>
      <c r="P1" s="67" t="s">
        <v>15</v>
      </c>
      <c r="Q1" s="68" t="s">
        <v>16</v>
      </c>
      <c r="R1" s="68" t="s">
        <v>17</v>
      </c>
      <c r="S1" s="2"/>
      <c r="T1" s="2"/>
      <c r="U1" s="2"/>
      <c r="V1" s="2"/>
      <c r="W1" s="2"/>
      <c r="X1" s="2"/>
      <c r="Y1" s="2"/>
      <c r="Z1" s="2"/>
    </row>
    <row r="2" spans="1:26" ht="14.4">
      <c r="A2" s="69" t="s">
        <v>18</v>
      </c>
      <c r="B2" s="70">
        <v>45393</v>
      </c>
      <c r="C2" s="69" t="s">
        <v>19</v>
      </c>
      <c r="D2" s="69" t="s">
        <v>20</v>
      </c>
      <c r="E2" s="69" t="s">
        <v>21</v>
      </c>
      <c r="F2" s="69" t="s">
        <v>22</v>
      </c>
      <c r="G2" s="69" t="s">
        <v>23</v>
      </c>
      <c r="H2" s="69">
        <v>3</v>
      </c>
      <c r="I2" s="69">
        <v>249.99</v>
      </c>
      <c r="J2" s="69" t="s">
        <v>24</v>
      </c>
      <c r="K2" s="69" t="s">
        <v>25</v>
      </c>
      <c r="L2" s="69" t="s">
        <v>26</v>
      </c>
      <c r="M2" s="70">
        <v>44425</v>
      </c>
      <c r="N2" s="69">
        <v>749.97</v>
      </c>
      <c r="O2" s="47">
        <f ca="1">TODAY()-M2</f>
        <v>1734</v>
      </c>
      <c r="P2" s="47">
        <f ca="1">TODAY()-B2</f>
        <v>766</v>
      </c>
      <c r="Q2" s="71" t="str">
        <f>TEXT(B2,"yyyy-mm")</f>
        <v>2024-04</v>
      </c>
      <c r="R2" s="49">
        <f>YEAR(B2)*100+MONTH(B2)</f>
        <v>202404</v>
      </c>
    </row>
    <row r="3" spans="1:26" ht="14.4">
      <c r="A3" s="69" t="s">
        <v>27</v>
      </c>
      <c r="B3" s="70">
        <v>45396</v>
      </c>
      <c r="C3" s="69" t="s">
        <v>28</v>
      </c>
      <c r="D3" s="69" t="s">
        <v>29</v>
      </c>
      <c r="E3" s="69" t="s">
        <v>21</v>
      </c>
      <c r="F3" s="69" t="s">
        <v>22</v>
      </c>
      <c r="G3" s="69" t="s">
        <v>23</v>
      </c>
      <c r="H3" s="69">
        <v>3</v>
      </c>
      <c r="I3" s="69">
        <v>249.99</v>
      </c>
      <c r="J3" s="69" t="s">
        <v>30</v>
      </c>
      <c r="K3" s="69" t="s">
        <v>25</v>
      </c>
      <c r="L3" s="69" t="s">
        <v>31</v>
      </c>
      <c r="M3" s="70">
        <v>44575</v>
      </c>
      <c r="N3" s="69">
        <v>749.97</v>
      </c>
      <c r="O3" s="47">
        <f t="shared" ref="O3:O66" ca="1" si="0">TODAY()-M3</f>
        <v>1584</v>
      </c>
      <c r="P3" s="47">
        <f t="shared" ref="P3:P66" ca="1" si="1">TODAY()-B3</f>
        <v>763</v>
      </c>
      <c r="Q3" s="71" t="str">
        <f t="shared" ref="Q3:Q66" si="2">TEXT(B3,"yyyy-mm")</f>
        <v>2024-04</v>
      </c>
      <c r="R3" s="49">
        <f t="shared" ref="R3:R66" si="3">YEAR(B3)*100+MONTH(B3)</f>
        <v>202404</v>
      </c>
    </row>
    <row r="4" spans="1:26" ht="14.4">
      <c r="A4" s="69" t="s">
        <v>32</v>
      </c>
      <c r="B4" s="70">
        <v>45399</v>
      </c>
      <c r="C4" s="69" t="s">
        <v>33</v>
      </c>
      <c r="D4" s="69" t="s">
        <v>34</v>
      </c>
      <c r="E4" s="69" t="s">
        <v>35</v>
      </c>
      <c r="F4" s="69" t="s">
        <v>36</v>
      </c>
      <c r="G4" s="69" t="s">
        <v>37</v>
      </c>
      <c r="H4" s="69">
        <v>3</v>
      </c>
      <c r="I4" s="69">
        <v>59.99</v>
      </c>
      <c r="J4" s="69" t="s">
        <v>38</v>
      </c>
      <c r="K4" s="69" t="s">
        <v>39</v>
      </c>
      <c r="L4" s="69" t="s">
        <v>40</v>
      </c>
      <c r="M4" s="70">
        <v>45262</v>
      </c>
      <c r="N4" s="69">
        <v>179.97</v>
      </c>
      <c r="O4" s="47">
        <f t="shared" ca="1" si="0"/>
        <v>897</v>
      </c>
      <c r="P4" s="47">
        <f t="shared" ca="1" si="1"/>
        <v>760</v>
      </c>
      <c r="Q4" s="71" t="str">
        <f t="shared" si="2"/>
        <v>2024-04</v>
      </c>
      <c r="R4" s="49">
        <f t="shared" si="3"/>
        <v>202404</v>
      </c>
    </row>
    <row r="5" spans="1:26" ht="14.4">
      <c r="A5" s="69" t="s">
        <v>41</v>
      </c>
      <c r="B5" s="70">
        <v>45400</v>
      </c>
      <c r="C5" s="69" t="s">
        <v>42</v>
      </c>
      <c r="D5" s="69" t="s">
        <v>43</v>
      </c>
      <c r="E5" s="69" t="s">
        <v>35</v>
      </c>
      <c r="F5" s="69" t="s">
        <v>36</v>
      </c>
      <c r="G5" s="69" t="s">
        <v>37</v>
      </c>
      <c r="H5" s="69">
        <v>3</v>
      </c>
      <c r="I5" s="69">
        <v>59.99</v>
      </c>
      <c r="J5" s="69" t="s">
        <v>24</v>
      </c>
      <c r="K5" s="69" t="s">
        <v>44</v>
      </c>
      <c r="L5" s="69" t="s">
        <v>31</v>
      </c>
      <c r="M5" s="70">
        <v>45114</v>
      </c>
      <c r="N5" s="69">
        <v>179.97</v>
      </c>
      <c r="O5" s="47">
        <f t="shared" ca="1" si="0"/>
        <v>1045</v>
      </c>
      <c r="P5" s="47">
        <f t="shared" ca="1" si="1"/>
        <v>759</v>
      </c>
      <c r="Q5" s="71" t="str">
        <f t="shared" si="2"/>
        <v>2024-04</v>
      </c>
      <c r="R5" s="49">
        <f t="shared" si="3"/>
        <v>202404</v>
      </c>
    </row>
    <row r="6" spans="1:26" ht="14.4">
      <c r="A6" s="69" t="s">
        <v>45</v>
      </c>
      <c r="B6" s="70">
        <v>45400</v>
      </c>
      <c r="C6" s="69" t="s">
        <v>46</v>
      </c>
      <c r="D6" s="69" t="s">
        <v>47</v>
      </c>
      <c r="E6" s="69" t="s">
        <v>48</v>
      </c>
      <c r="F6" s="69" t="s">
        <v>49</v>
      </c>
      <c r="G6" s="69" t="s">
        <v>50</v>
      </c>
      <c r="H6" s="69">
        <v>5</v>
      </c>
      <c r="I6" s="69">
        <v>149.99</v>
      </c>
      <c r="J6" s="69" t="s">
        <v>30</v>
      </c>
      <c r="K6" s="69" t="s">
        <v>44</v>
      </c>
      <c r="L6" s="69" t="s">
        <v>31</v>
      </c>
      <c r="M6" s="70">
        <v>45295</v>
      </c>
      <c r="N6" s="69">
        <v>749.95</v>
      </c>
      <c r="O6" s="47">
        <f t="shared" ca="1" si="0"/>
        <v>864</v>
      </c>
      <c r="P6" s="47">
        <f t="shared" ca="1" si="1"/>
        <v>759</v>
      </c>
      <c r="Q6" s="71" t="str">
        <f t="shared" si="2"/>
        <v>2024-04</v>
      </c>
      <c r="R6" s="49">
        <f t="shared" si="3"/>
        <v>202404</v>
      </c>
    </row>
    <row r="7" spans="1:26" ht="14.4">
      <c r="A7" s="69" t="s">
        <v>51</v>
      </c>
      <c r="B7" s="70">
        <v>45403</v>
      </c>
      <c r="C7" s="69" t="s">
        <v>52</v>
      </c>
      <c r="D7" s="69" t="s">
        <v>53</v>
      </c>
      <c r="E7" s="69" t="s">
        <v>35</v>
      </c>
      <c r="F7" s="69" t="s">
        <v>36</v>
      </c>
      <c r="G7" s="69" t="s">
        <v>37</v>
      </c>
      <c r="H7" s="69">
        <v>2</v>
      </c>
      <c r="I7" s="69">
        <v>59.99</v>
      </c>
      <c r="J7" s="69" t="s">
        <v>24</v>
      </c>
      <c r="K7" s="69" t="s">
        <v>54</v>
      </c>
      <c r="L7" s="69" t="s">
        <v>40</v>
      </c>
      <c r="M7" s="70">
        <v>44746</v>
      </c>
      <c r="N7" s="69">
        <v>119.98</v>
      </c>
      <c r="O7" s="47">
        <f t="shared" ca="1" si="0"/>
        <v>1413</v>
      </c>
      <c r="P7" s="47">
        <f t="shared" ca="1" si="1"/>
        <v>756</v>
      </c>
      <c r="Q7" s="71" t="str">
        <f t="shared" si="2"/>
        <v>2024-04</v>
      </c>
      <c r="R7" s="49">
        <f t="shared" si="3"/>
        <v>202404</v>
      </c>
    </row>
    <row r="8" spans="1:26" ht="14.4">
      <c r="A8" s="69" t="s">
        <v>55</v>
      </c>
      <c r="B8" s="70">
        <v>45403</v>
      </c>
      <c r="C8" s="69" t="s">
        <v>52</v>
      </c>
      <c r="D8" s="69" t="s">
        <v>53</v>
      </c>
      <c r="E8" s="69" t="s">
        <v>56</v>
      </c>
      <c r="F8" s="69" t="s">
        <v>57</v>
      </c>
      <c r="G8" s="69" t="s">
        <v>23</v>
      </c>
      <c r="H8" s="69">
        <v>5</v>
      </c>
      <c r="I8" s="69">
        <v>149.99</v>
      </c>
      <c r="J8" s="69" t="s">
        <v>30</v>
      </c>
      <c r="K8" s="69" t="s">
        <v>25</v>
      </c>
      <c r="L8" s="69" t="s">
        <v>40</v>
      </c>
      <c r="M8" s="70">
        <v>44418</v>
      </c>
      <c r="N8" s="69">
        <v>749.95</v>
      </c>
      <c r="O8" s="47">
        <f t="shared" ca="1" si="0"/>
        <v>1741</v>
      </c>
      <c r="P8" s="47">
        <f t="shared" ca="1" si="1"/>
        <v>756</v>
      </c>
      <c r="Q8" s="71" t="str">
        <f t="shared" si="2"/>
        <v>2024-04</v>
      </c>
      <c r="R8" s="49">
        <f t="shared" si="3"/>
        <v>202404</v>
      </c>
    </row>
    <row r="9" spans="1:26" ht="14.4">
      <c r="A9" s="69" t="s">
        <v>58</v>
      </c>
      <c r="B9" s="70">
        <v>45403</v>
      </c>
      <c r="C9" s="69" t="s">
        <v>59</v>
      </c>
      <c r="D9" s="69" t="s">
        <v>60</v>
      </c>
      <c r="E9" s="69" t="s">
        <v>35</v>
      </c>
      <c r="F9" s="69" t="s">
        <v>36</v>
      </c>
      <c r="G9" s="69" t="s">
        <v>37</v>
      </c>
      <c r="H9" s="69">
        <v>3</v>
      </c>
      <c r="I9" s="69">
        <v>59.99</v>
      </c>
      <c r="J9" s="69" t="s">
        <v>61</v>
      </c>
      <c r="K9" s="69" t="s">
        <v>39</v>
      </c>
      <c r="L9" s="69" t="s">
        <v>26</v>
      </c>
      <c r="M9" s="70">
        <v>45007</v>
      </c>
      <c r="N9" s="69">
        <v>179.97</v>
      </c>
      <c r="O9" s="47">
        <f t="shared" ca="1" si="0"/>
        <v>1152</v>
      </c>
      <c r="P9" s="47">
        <f t="shared" ca="1" si="1"/>
        <v>756</v>
      </c>
      <c r="Q9" s="71" t="str">
        <f t="shared" si="2"/>
        <v>2024-04</v>
      </c>
      <c r="R9" s="49">
        <f t="shared" si="3"/>
        <v>202404</v>
      </c>
    </row>
    <row r="10" spans="1:26" ht="14.4">
      <c r="A10" s="69" t="s">
        <v>62</v>
      </c>
      <c r="B10" s="70">
        <v>45405</v>
      </c>
      <c r="C10" s="69" t="s">
        <v>63</v>
      </c>
      <c r="D10" s="69" t="s">
        <v>64</v>
      </c>
      <c r="E10" s="69" t="s">
        <v>65</v>
      </c>
      <c r="F10" s="69" t="s">
        <v>66</v>
      </c>
      <c r="G10" s="69" t="s">
        <v>23</v>
      </c>
      <c r="H10" s="69">
        <v>3</v>
      </c>
      <c r="I10" s="69">
        <v>899.99</v>
      </c>
      <c r="J10" s="69" t="s">
        <v>38</v>
      </c>
      <c r="K10" s="69" t="s">
        <v>67</v>
      </c>
      <c r="L10" s="69" t="s">
        <v>40</v>
      </c>
      <c r="M10" s="70">
        <v>45299</v>
      </c>
      <c r="N10" s="69">
        <v>2699.97</v>
      </c>
      <c r="O10" s="47">
        <f t="shared" ca="1" si="0"/>
        <v>860</v>
      </c>
      <c r="P10" s="47">
        <f t="shared" ca="1" si="1"/>
        <v>754</v>
      </c>
      <c r="Q10" s="71" t="str">
        <f t="shared" si="2"/>
        <v>2024-04</v>
      </c>
      <c r="R10" s="49">
        <f t="shared" si="3"/>
        <v>202404</v>
      </c>
    </row>
    <row r="11" spans="1:26" ht="14.4">
      <c r="A11" s="69" t="s">
        <v>68</v>
      </c>
      <c r="B11" s="70">
        <v>45408</v>
      </c>
      <c r="C11" s="69" t="s">
        <v>69</v>
      </c>
      <c r="D11" s="69" t="s">
        <v>70</v>
      </c>
      <c r="E11" s="69" t="s">
        <v>35</v>
      </c>
      <c r="F11" s="69" t="s">
        <v>36</v>
      </c>
      <c r="G11" s="69" t="s">
        <v>37</v>
      </c>
      <c r="H11" s="69">
        <v>3</v>
      </c>
      <c r="I11" s="69">
        <v>59.99</v>
      </c>
      <c r="J11" s="69" t="s">
        <v>24</v>
      </c>
      <c r="K11" s="69" t="s">
        <v>54</v>
      </c>
      <c r="L11" s="69" t="s">
        <v>31</v>
      </c>
      <c r="M11" s="70">
        <v>45207</v>
      </c>
      <c r="N11" s="69">
        <v>179.97</v>
      </c>
      <c r="O11" s="47">
        <f t="shared" ca="1" si="0"/>
        <v>952</v>
      </c>
      <c r="P11" s="47">
        <f t="shared" ca="1" si="1"/>
        <v>751</v>
      </c>
      <c r="Q11" s="71" t="str">
        <f t="shared" si="2"/>
        <v>2024-04</v>
      </c>
      <c r="R11" s="49">
        <f t="shared" si="3"/>
        <v>202404</v>
      </c>
    </row>
    <row r="12" spans="1:26" ht="14.4">
      <c r="A12" s="69" t="s">
        <v>71</v>
      </c>
      <c r="B12" s="70">
        <v>45408</v>
      </c>
      <c r="C12" s="69" t="s">
        <v>72</v>
      </c>
      <c r="D12" s="69" t="s">
        <v>73</v>
      </c>
      <c r="E12" s="69" t="s">
        <v>48</v>
      </c>
      <c r="F12" s="69" t="s">
        <v>49</v>
      </c>
      <c r="G12" s="69" t="s">
        <v>50</v>
      </c>
      <c r="H12" s="69">
        <v>1</v>
      </c>
      <c r="I12" s="69">
        <v>149.99</v>
      </c>
      <c r="J12" s="69" t="s">
        <v>30</v>
      </c>
      <c r="K12" s="69" t="s">
        <v>54</v>
      </c>
      <c r="L12" s="69" t="s">
        <v>40</v>
      </c>
      <c r="M12" s="70">
        <v>45103</v>
      </c>
      <c r="N12" s="69">
        <v>149.99</v>
      </c>
      <c r="O12" s="47">
        <f t="shared" ca="1" si="0"/>
        <v>1056</v>
      </c>
      <c r="P12" s="47">
        <f t="shared" ca="1" si="1"/>
        <v>751</v>
      </c>
      <c r="Q12" s="71" t="str">
        <f t="shared" si="2"/>
        <v>2024-04</v>
      </c>
      <c r="R12" s="49">
        <f t="shared" si="3"/>
        <v>202404</v>
      </c>
    </row>
    <row r="13" spans="1:26" ht="14.4">
      <c r="A13" s="69" t="s">
        <v>74</v>
      </c>
      <c r="B13" s="70">
        <v>45408</v>
      </c>
      <c r="C13" s="69" t="s">
        <v>42</v>
      </c>
      <c r="D13" s="69" t="s">
        <v>43</v>
      </c>
      <c r="E13" s="69" t="s">
        <v>48</v>
      </c>
      <c r="F13" s="69" t="s">
        <v>49</v>
      </c>
      <c r="G13" s="69" t="s">
        <v>50</v>
      </c>
      <c r="H13" s="69">
        <v>5</v>
      </c>
      <c r="I13" s="69">
        <v>149.99</v>
      </c>
      <c r="J13" s="69" t="s">
        <v>61</v>
      </c>
      <c r="K13" s="69" t="s">
        <v>44</v>
      </c>
      <c r="L13" s="69" t="s">
        <v>26</v>
      </c>
      <c r="M13" s="70">
        <v>44830</v>
      </c>
      <c r="N13" s="69">
        <v>749.95</v>
      </c>
      <c r="O13" s="47">
        <f t="shared" ca="1" si="0"/>
        <v>1329</v>
      </c>
      <c r="P13" s="47">
        <f t="shared" ca="1" si="1"/>
        <v>751</v>
      </c>
      <c r="Q13" s="71" t="str">
        <f t="shared" si="2"/>
        <v>2024-04</v>
      </c>
      <c r="R13" s="49">
        <f t="shared" si="3"/>
        <v>202404</v>
      </c>
    </row>
    <row r="14" spans="1:26" ht="14.4">
      <c r="A14" s="69" t="s">
        <v>75</v>
      </c>
      <c r="B14" s="70">
        <v>45408</v>
      </c>
      <c r="C14" s="69" t="s">
        <v>76</v>
      </c>
      <c r="D14" s="69" t="s">
        <v>77</v>
      </c>
      <c r="E14" s="69" t="s">
        <v>48</v>
      </c>
      <c r="F14" s="69" t="s">
        <v>49</v>
      </c>
      <c r="G14" s="69" t="s">
        <v>50</v>
      </c>
      <c r="H14" s="69">
        <v>3</v>
      </c>
      <c r="I14" s="69">
        <v>149.99</v>
      </c>
      <c r="J14" s="69" t="s">
        <v>24</v>
      </c>
      <c r="K14" s="69" t="s">
        <v>44</v>
      </c>
      <c r="L14" s="69" t="s">
        <v>31</v>
      </c>
      <c r="M14" s="70">
        <v>44806</v>
      </c>
      <c r="N14" s="69">
        <v>449.97</v>
      </c>
      <c r="O14" s="47">
        <f t="shared" ca="1" si="0"/>
        <v>1353</v>
      </c>
      <c r="P14" s="47">
        <f t="shared" ca="1" si="1"/>
        <v>751</v>
      </c>
      <c r="Q14" s="71" t="str">
        <f t="shared" si="2"/>
        <v>2024-04</v>
      </c>
      <c r="R14" s="49">
        <f t="shared" si="3"/>
        <v>202404</v>
      </c>
    </row>
    <row r="15" spans="1:26" ht="14.4">
      <c r="A15" s="69" t="s">
        <v>78</v>
      </c>
      <c r="B15" s="70">
        <v>45409</v>
      </c>
      <c r="C15" s="69" t="s">
        <v>79</v>
      </c>
      <c r="D15" s="69" t="s">
        <v>80</v>
      </c>
      <c r="E15" s="69" t="s">
        <v>35</v>
      </c>
      <c r="F15" s="69" t="s">
        <v>36</v>
      </c>
      <c r="G15" s="69" t="s">
        <v>37</v>
      </c>
      <c r="H15" s="69">
        <v>3</v>
      </c>
      <c r="I15" s="69">
        <v>59.99</v>
      </c>
      <c r="J15" s="69" t="s">
        <v>30</v>
      </c>
      <c r="K15" s="69" t="s">
        <v>44</v>
      </c>
      <c r="L15" s="69" t="s">
        <v>40</v>
      </c>
      <c r="M15" s="70">
        <v>45351</v>
      </c>
      <c r="N15" s="69">
        <v>179.97</v>
      </c>
      <c r="O15" s="47">
        <f t="shared" ca="1" si="0"/>
        <v>808</v>
      </c>
      <c r="P15" s="47">
        <f t="shared" ca="1" si="1"/>
        <v>750</v>
      </c>
      <c r="Q15" s="71" t="str">
        <f t="shared" si="2"/>
        <v>2024-04</v>
      </c>
      <c r="R15" s="49">
        <f t="shared" si="3"/>
        <v>202404</v>
      </c>
    </row>
    <row r="16" spans="1:26" ht="14.4">
      <c r="A16" s="69" t="s">
        <v>81</v>
      </c>
      <c r="B16" s="70">
        <v>45409</v>
      </c>
      <c r="C16" s="69" t="s">
        <v>82</v>
      </c>
      <c r="D16" s="69" t="s">
        <v>83</v>
      </c>
      <c r="E16" s="69" t="s">
        <v>84</v>
      </c>
      <c r="F16" s="69" t="s">
        <v>85</v>
      </c>
      <c r="G16" s="69" t="s">
        <v>23</v>
      </c>
      <c r="H16" s="69">
        <v>3</v>
      </c>
      <c r="I16" s="69">
        <v>699.99</v>
      </c>
      <c r="J16" s="69" t="s">
        <v>30</v>
      </c>
      <c r="K16" s="69" t="s">
        <v>54</v>
      </c>
      <c r="L16" s="69" t="s">
        <v>26</v>
      </c>
      <c r="M16" s="70">
        <v>44577</v>
      </c>
      <c r="N16" s="69">
        <v>2099.9699999999998</v>
      </c>
      <c r="O16" s="47">
        <f t="shared" ca="1" si="0"/>
        <v>1582</v>
      </c>
      <c r="P16" s="47">
        <f t="shared" ca="1" si="1"/>
        <v>750</v>
      </c>
      <c r="Q16" s="71" t="str">
        <f t="shared" si="2"/>
        <v>2024-04</v>
      </c>
      <c r="R16" s="49">
        <f t="shared" si="3"/>
        <v>202404</v>
      </c>
    </row>
    <row r="17" spans="1:18" ht="14.4">
      <c r="A17" s="69" t="s">
        <v>86</v>
      </c>
      <c r="B17" s="70">
        <v>45409</v>
      </c>
      <c r="C17" s="69" t="s">
        <v>87</v>
      </c>
      <c r="D17" s="69" t="s">
        <v>88</v>
      </c>
      <c r="E17" s="69" t="s">
        <v>65</v>
      </c>
      <c r="F17" s="69" t="s">
        <v>66</v>
      </c>
      <c r="G17" s="69" t="s">
        <v>23</v>
      </c>
      <c r="H17" s="69">
        <v>1</v>
      </c>
      <c r="I17" s="69">
        <v>899.99</v>
      </c>
      <c r="J17" s="69" t="s">
        <v>61</v>
      </c>
      <c r="K17" s="69" t="s">
        <v>44</v>
      </c>
      <c r="L17" s="69" t="s">
        <v>40</v>
      </c>
      <c r="M17" s="70">
        <v>44920</v>
      </c>
      <c r="N17" s="69">
        <v>899.99</v>
      </c>
      <c r="O17" s="47">
        <f t="shared" ca="1" si="0"/>
        <v>1239</v>
      </c>
      <c r="P17" s="47">
        <f t="shared" ca="1" si="1"/>
        <v>750</v>
      </c>
      <c r="Q17" s="71" t="str">
        <f t="shared" si="2"/>
        <v>2024-04</v>
      </c>
      <c r="R17" s="49">
        <f t="shared" si="3"/>
        <v>202404</v>
      </c>
    </row>
    <row r="18" spans="1:18" ht="14.4">
      <c r="A18" s="69" t="s">
        <v>89</v>
      </c>
      <c r="B18" s="70">
        <v>45410</v>
      </c>
      <c r="C18" s="69" t="s">
        <v>90</v>
      </c>
      <c r="D18" s="69" t="s">
        <v>91</v>
      </c>
      <c r="E18" s="69" t="s">
        <v>48</v>
      </c>
      <c r="F18" s="69" t="s">
        <v>49</v>
      </c>
      <c r="G18" s="69" t="s">
        <v>50</v>
      </c>
      <c r="H18" s="69">
        <v>4</v>
      </c>
      <c r="I18" s="69">
        <v>149.99</v>
      </c>
      <c r="J18" s="69" t="s">
        <v>61</v>
      </c>
      <c r="K18" s="69" t="s">
        <v>44</v>
      </c>
      <c r="L18" s="69" t="s">
        <v>31</v>
      </c>
      <c r="M18" s="70">
        <v>45374</v>
      </c>
      <c r="N18" s="69">
        <v>599.96</v>
      </c>
      <c r="O18" s="47">
        <f t="shared" ca="1" si="0"/>
        <v>785</v>
      </c>
      <c r="P18" s="47">
        <f t="shared" ca="1" si="1"/>
        <v>749</v>
      </c>
      <c r="Q18" s="71" t="str">
        <f t="shared" si="2"/>
        <v>2024-04</v>
      </c>
      <c r="R18" s="49">
        <f t="shared" si="3"/>
        <v>202404</v>
      </c>
    </row>
    <row r="19" spans="1:18" ht="14.4">
      <c r="A19" s="69" t="s">
        <v>92</v>
      </c>
      <c r="B19" s="70">
        <v>45410</v>
      </c>
      <c r="C19" s="69" t="s">
        <v>93</v>
      </c>
      <c r="D19" s="69" t="s">
        <v>94</v>
      </c>
      <c r="E19" s="69" t="s">
        <v>84</v>
      </c>
      <c r="F19" s="69" t="s">
        <v>85</v>
      </c>
      <c r="G19" s="69" t="s">
        <v>23</v>
      </c>
      <c r="H19" s="69">
        <v>2</v>
      </c>
      <c r="I19" s="69">
        <v>699.99</v>
      </c>
      <c r="J19" s="69" t="s">
        <v>24</v>
      </c>
      <c r="K19" s="69" t="s">
        <v>44</v>
      </c>
      <c r="L19" s="69" t="s">
        <v>26</v>
      </c>
      <c r="M19" s="70">
        <v>44781</v>
      </c>
      <c r="N19" s="69">
        <v>1399.98</v>
      </c>
      <c r="O19" s="47">
        <f t="shared" ca="1" si="0"/>
        <v>1378</v>
      </c>
      <c r="P19" s="47">
        <f t="shared" ca="1" si="1"/>
        <v>749</v>
      </c>
      <c r="Q19" s="71" t="str">
        <f t="shared" si="2"/>
        <v>2024-04</v>
      </c>
      <c r="R19" s="49">
        <f t="shared" si="3"/>
        <v>202404</v>
      </c>
    </row>
    <row r="20" spans="1:18" ht="14.4">
      <c r="A20" s="69" t="s">
        <v>95</v>
      </c>
      <c r="B20" s="70">
        <v>45410</v>
      </c>
      <c r="C20" s="69" t="s">
        <v>90</v>
      </c>
      <c r="D20" s="69" t="s">
        <v>91</v>
      </c>
      <c r="E20" s="69" t="s">
        <v>65</v>
      </c>
      <c r="F20" s="69" t="s">
        <v>66</v>
      </c>
      <c r="G20" s="69" t="s">
        <v>23</v>
      </c>
      <c r="H20" s="69">
        <v>4</v>
      </c>
      <c r="I20" s="69">
        <v>899.99</v>
      </c>
      <c r="J20" s="69" t="s">
        <v>30</v>
      </c>
      <c r="K20" s="69" t="s">
        <v>54</v>
      </c>
      <c r="L20" s="69" t="s">
        <v>40</v>
      </c>
      <c r="M20" s="70">
        <v>45327</v>
      </c>
      <c r="N20" s="69">
        <v>3599.96</v>
      </c>
      <c r="O20" s="47">
        <f t="shared" ca="1" si="0"/>
        <v>832</v>
      </c>
      <c r="P20" s="47">
        <f t="shared" ca="1" si="1"/>
        <v>749</v>
      </c>
      <c r="Q20" s="71" t="str">
        <f t="shared" si="2"/>
        <v>2024-04</v>
      </c>
      <c r="R20" s="49">
        <f t="shared" si="3"/>
        <v>202404</v>
      </c>
    </row>
    <row r="21" spans="1:18" ht="15.75" customHeight="1">
      <c r="A21" s="69" t="s">
        <v>96</v>
      </c>
      <c r="B21" s="70">
        <v>45410</v>
      </c>
      <c r="C21" s="69" t="s">
        <v>97</v>
      </c>
      <c r="D21" s="69" t="s">
        <v>98</v>
      </c>
      <c r="E21" s="69" t="s">
        <v>21</v>
      </c>
      <c r="F21" s="69" t="s">
        <v>22</v>
      </c>
      <c r="G21" s="69" t="s">
        <v>23</v>
      </c>
      <c r="H21" s="69">
        <v>3</v>
      </c>
      <c r="I21" s="69">
        <v>249.99</v>
      </c>
      <c r="J21" s="69" t="s">
        <v>30</v>
      </c>
      <c r="K21" s="69" t="s">
        <v>44</v>
      </c>
      <c r="L21" s="69" t="s">
        <v>31</v>
      </c>
      <c r="M21" s="70">
        <v>45224</v>
      </c>
      <c r="N21" s="69">
        <v>749.97</v>
      </c>
      <c r="O21" s="47">
        <f t="shared" ca="1" si="0"/>
        <v>935</v>
      </c>
      <c r="P21" s="47">
        <f t="shared" ca="1" si="1"/>
        <v>749</v>
      </c>
      <c r="Q21" s="71" t="str">
        <f t="shared" si="2"/>
        <v>2024-04</v>
      </c>
      <c r="R21" s="49">
        <f t="shared" si="3"/>
        <v>202404</v>
      </c>
    </row>
    <row r="22" spans="1:18" ht="15.75" customHeight="1">
      <c r="A22" s="69" t="s">
        <v>99</v>
      </c>
      <c r="B22" s="70">
        <v>45412</v>
      </c>
      <c r="C22" s="69" t="s">
        <v>100</v>
      </c>
      <c r="D22" s="69" t="s">
        <v>101</v>
      </c>
      <c r="E22" s="69" t="s">
        <v>84</v>
      </c>
      <c r="F22" s="69" t="s">
        <v>85</v>
      </c>
      <c r="G22" s="69" t="s">
        <v>23</v>
      </c>
      <c r="H22" s="69">
        <v>5</v>
      </c>
      <c r="I22" s="69">
        <v>699.99</v>
      </c>
      <c r="J22" s="69" t="s">
        <v>24</v>
      </c>
      <c r="K22" s="69" t="s">
        <v>54</v>
      </c>
      <c r="L22" s="69" t="s">
        <v>26</v>
      </c>
      <c r="M22" s="70">
        <v>45167</v>
      </c>
      <c r="N22" s="69">
        <v>3499.95</v>
      </c>
      <c r="O22" s="47">
        <f t="shared" ca="1" si="0"/>
        <v>992</v>
      </c>
      <c r="P22" s="47">
        <f t="shared" ca="1" si="1"/>
        <v>747</v>
      </c>
      <c r="Q22" s="71" t="str">
        <f t="shared" si="2"/>
        <v>2024-04</v>
      </c>
      <c r="R22" s="49">
        <f t="shared" si="3"/>
        <v>202404</v>
      </c>
    </row>
    <row r="23" spans="1:18" ht="15.75" customHeight="1">
      <c r="A23" s="69" t="s">
        <v>102</v>
      </c>
      <c r="B23" s="70">
        <v>45413</v>
      </c>
      <c r="C23" s="69" t="s">
        <v>103</v>
      </c>
      <c r="D23" s="69" t="s">
        <v>104</v>
      </c>
      <c r="E23" s="69" t="s">
        <v>84</v>
      </c>
      <c r="F23" s="69" t="s">
        <v>85</v>
      </c>
      <c r="G23" s="69" t="s">
        <v>23</v>
      </c>
      <c r="H23" s="69">
        <v>4</v>
      </c>
      <c r="I23" s="69">
        <v>699.99</v>
      </c>
      <c r="J23" s="69" t="s">
        <v>24</v>
      </c>
      <c r="K23" s="69" t="s">
        <v>67</v>
      </c>
      <c r="L23" s="69" t="s">
        <v>40</v>
      </c>
      <c r="M23" s="70">
        <v>44409</v>
      </c>
      <c r="N23" s="69">
        <v>2799.96</v>
      </c>
      <c r="O23" s="47">
        <f t="shared" ca="1" si="0"/>
        <v>1750</v>
      </c>
      <c r="P23" s="47">
        <f t="shared" ca="1" si="1"/>
        <v>746</v>
      </c>
      <c r="Q23" s="71" t="str">
        <f t="shared" si="2"/>
        <v>2024-05</v>
      </c>
      <c r="R23" s="49">
        <f t="shared" si="3"/>
        <v>202405</v>
      </c>
    </row>
    <row r="24" spans="1:18" ht="15.75" customHeight="1">
      <c r="A24" s="69" t="s">
        <v>105</v>
      </c>
      <c r="B24" s="70">
        <v>45415</v>
      </c>
      <c r="C24" s="69" t="s">
        <v>106</v>
      </c>
      <c r="D24" s="69" t="s">
        <v>107</v>
      </c>
      <c r="E24" s="69" t="s">
        <v>21</v>
      </c>
      <c r="F24" s="69" t="s">
        <v>22</v>
      </c>
      <c r="G24" s="69" t="s">
        <v>23</v>
      </c>
      <c r="H24" s="69">
        <v>4</v>
      </c>
      <c r="I24" s="69">
        <v>249.99</v>
      </c>
      <c r="J24" s="69" t="s">
        <v>38</v>
      </c>
      <c r="K24" s="69" t="s">
        <v>44</v>
      </c>
      <c r="L24" s="69" t="s">
        <v>40</v>
      </c>
      <c r="M24" s="70">
        <v>44468</v>
      </c>
      <c r="N24" s="69">
        <v>999.96</v>
      </c>
      <c r="O24" s="47">
        <f t="shared" ca="1" si="0"/>
        <v>1691</v>
      </c>
      <c r="P24" s="47">
        <f t="shared" ca="1" si="1"/>
        <v>744</v>
      </c>
      <c r="Q24" s="71" t="str">
        <f t="shared" si="2"/>
        <v>2024-05</v>
      </c>
      <c r="R24" s="49">
        <f t="shared" si="3"/>
        <v>202405</v>
      </c>
    </row>
    <row r="25" spans="1:18" ht="15.75" customHeight="1">
      <c r="A25" s="69" t="s">
        <v>108</v>
      </c>
      <c r="B25" s="70">
        <v>45416</v>
      </c>
      <c r="C25" s="69" t="s">
        <v>90</v>
      </c>
      <c r="D25" s="69" t="s">
        <v>91</v>
      </c>
      <c r="E25" s="69" t="s">
        <v>109</v>
      </c>
      <c r="F25" s="69" t="s">
        <v>110</v>
      </c>
      <c r="G25" s="69" t="s">
        <v>50</v>
      </c>
      <c r="H25" s="69">
        <v>4</v>
      </c>
      <c r="I25" s="69">
        <v>299.99</v>
      </c>
      <c r="J25" s="69" t="s">
        <v>24</v>
      </c>
      <c r="K25" s="69" t="s">
        <v>54</v>
      </c>
      <c r="L25" s="69" t="s">
        <v>31</v>
      </c>
      <c r="M25" s="70">
        <v>44716</v>
      </c>
      <c r="N25" s="69">
        <v>1199.96</v>
      </c>
      <c r="O25" s="47">
        <f t="shared" ca="1" si="0"/>
        <v>1443</v>
      </c>
      <c r="P25" s="47">
        <f t="shared" ca="1" si="1"/>
        <v>743</v>
      </c>
      <c r="Q25" s="71" t="str">
        <f t="shared" si="2"/>
        <v>2024-05</v>
      </c>
      <c r="R25" s="49">
        <f t="shared" si="3"/>
        <v>202405</v>
      </c>
    </row>
    <row r="26" spans="1:18" ht="15.75" customHeight="1">
      <c r="A26" s="69" t="s">
        <v>111</v>
      </c>
      <c r="B26" s="70">
        <v>45422</v>
      </c>
      <c r="C26" s="69" t="s">
        <v>112</v>
      </c>
      <c r="D26" s="69" t="s">
        <v>113</v>
      </c>
      <c r="E26" s="69" t="s">
        <v>21</v>
      </c>
      <c r="F26" s="69" t="s">
        <v>22</v>
      </c>
      <c r="G26" s="69" t="s">
        <v>23</v>
      </c>
      <c r="H26" s="69">
        <v>5</v>
      </c>
      <c r="I26" s="69">
        <v>249.99</v>
      </c>
      <c r="J26" s="69" t="s">
        <v>30</v>
      </c>
      <c r="K26" s="69" t="s">
        <v>54</v>
      </c>
      <c r="L26" s="69" t="s">
        <v>40</v>
      </c>
      <c r="M26" s="70">
        <v>44525</v>
      </c>
      <c r="N26" s="69">
        <v>1249.95</v>
      </c>
      <c r="O26" s="47">
        <f t="shared" ca="1" si="0"/>
        <v>1634</v>
      </c>
      <c r="P26" s="47">
        <f t="shared" ca="1" si="1"/>
        <v>737</v>
      </c>
      <c r="Q26" s="71" t="str">
        <f t="shared" si="2"/>
        <v>2024-05</v>
      </c>
      <c r="R26" s="49">
        <f t="shared" si="3"/>
        <v>202405</v>
      </c>
    </row>
    <row r="27" spans="1:18" ht="15.75" customHeight="1">
      <c r="A27" s="69" t="s">
        <v>114</v>
      </c>
      <c r="B27" s="70">
        <v>45424</v>
      </c>
      <c r="C27" s="69" t="s">
        <v>72</v>
      </c>
      <c r="D27" s="69" t="s">
        <v>73</v>
      </c>
      <c r="E27" s="69" t="s">
        <v>109</v>
      </c>
      <c r="F27" s="69" t="s">
        <v>110</v>
      </c>
      <c r="G27" s="69" t="s">
        <v>50</v>
      </c>
      <c r="H27" s="69">
        <v>5</v>
      </c>
      <c r="I27" s="69">
        <v>299.99</v>
      </c>
      <c r="J27" s="69" t="s">
        <v>38</v>
      </c>
      <c r="K27" s="69" t="s">
        <v>67</v>
      </c>
      <c r="L27" s="69" t="s">
        <v>26</v>
      </c>
      <c r="M27" s="70">
        <v>45168</v>
      </c>
      <c r="N27" s="69">
        <v>1499.95</v>
      </c>
      <c r="O27" s="47">
        <f t="shared" ca="1" si="0"/>
        <v>991</v>
      </c>
      <c r="P27" s="47">
        <f t="shared" ca="1" si="1"/>
        <v>735</v>
      </c>
      <c r="Q27" s="71" t="str">
        <f t="shared" si="2"/>
        <v>2024-05</v>
      </c>
      <c r="R27" s="49">
        <f t="shared" si="3"/>
        <v>202405</v>
      </c>
    </row>
    <row r="28" spans="1:18" ht="15.75" customHeight="1">
      <c r="A28" s="69" t="s">
        <v>115</v>
      </c>
      <c r="B28" s="70">
        <v>45424</v>
      </c>
      <c r="C28" s="69" t="s">
        <v>116</v>
      </c>
      <c r="D28" s="69" t="s">
        <v>117</v>
      </c>
      <c r="E28" s="69" t="s">
        <v>118</v>
      </c>
      <c r="F28" s="69" t="s">
        <v>119</v>
      </c>
      <c r="G28" s="69" t="s">
        <v>37</v>
      </c>
      <c r="H28" s="69">
        <v>3</v>
      </c>
      <c r="I28" s="69">
        <v>79.989999999999995</v>
      </c>
      <c r="J28" s="69" t="s">
        <v>38</v>
      </c>
      <c r="K28" s="69" t="s">
        <v>67</v>
      </c>
      <c r="L28" s="69" t="s">
        <v>31</v>
      </c>
      <c r="M28" s="70">
        <v>45012</v>
      </c>
      <c r="N28" s="69">
        <v>239.97</v>
      </c>
      <c r="O28" s="47">
        <f t="shared" ca="1" si="0"/>
        <v>1147</v>
      </c>
      <c r="P28" s="47">
        <f t="shared" ca="1" si="1"/>
        <v>735</v>
      </c>
      <c r="Q28" s="71" t="str">
        <f t="shared" si="2"/>
        <v>2024-05</v>
      </c>
      <c r="R28" s="49">
        <f t="shared" si="3"/>
        <v>202405</v>
      </c>
    </row>
    <row r="29" spans="1:18" ht="15.75" customHeight="1">
      <c r="A29" s="69" t="s">
        <v>120</v>
      </c>
      <c r="B29" s="70">
        <v>45424</v>
      </c>
      <c r="C29" s="69" t="s">
        <v>103</v>
      </c>
      <c r="D29" s="69" t="s">
        <v>104</v>
      </c>
      <c r="E29" s="69" t="s">
        <v>121</v>
      </c>
      <c r="F29" s="69" t="s">
        <v>122</v>
      </c>
      <c r="G29" s="69" t="s">
        <v>23</v>
      </c>
      <c r="H29" s="69">
        <v>5</v>
      </c>
      <c r="I29" s="69">
        <v>89.99</v>
      </c>
      <c r="J29" s="69" t="s">
        <v>24</v>
      </c>
      <c r="K29" s="69" t="s">
        <v>44</v>
      </c>
      <c r="L29" s="69" t="s">
        <v>31</v>
      </c>
      <c r="M29" s="70">
        <v>44919</v>
      </c>
      <c r="N29" s="69">
        <v>449.95</v>
      </c>
      <c r="O29" s="47">
        <f t="shared" ca="1" si="0"/>
        <v>1240</v>
      </c>
      <c r="P29" s="47">
        <f t="shared" ca="1" si="1"/>
        <v>735</v>
      </c>
      <c r="Q29" s="71" t="str">
        <f t="shared" si="2"/>
        <v>2024-05</v>
      </c>
      <c r="R29" s="49">
        <f t="shared" si="3"/>
        <v>202405</v>
      </c>
    </row>
    <row r="30" spans="1:18" ht="15.75" customHeight="1">
      <c r="A30" s="69" t="s">
        <v>123</v>
      </c>
      <c r="B30" s="70">
        <v>45425</v>
      </c>
      <c r="C30" s="69" t="s">
        <v>124</v>
      </c>
      <c r="D30" s="69" t="s">
        <v>125</v>
      </c>
      <c r="E30" s="69" t="s">
        <v>35</v>
      </c>
      <c r="F30" s="69" t="s">
        <v>36</v>
      </c>
      <c r="G30" s="69" t="s">
        <v>37</v>
      </c>
      <c r="H30" s="69">
        <v>2</v>
      </c>
      <c r="I30" s="69">
        <v>59.99</v>
      </c>
      <c r="J30" s="69" t="s">
        <v>61</v>
      </c>
      <c r="K30" s="69" t="s">
        <v>25</v>
      </c>
      <c r="L30" s="69" t="s">
        <v>40</v>
      </c>
      <c r="M30" s="70">
        <v>45214</v>
      </c>
      <c r="N30" s="69">
        <v>119.98</v>
      </c>
      <c r="O30" s="47">
        <f t="shared" ca="1" si="0"/>
        <v>945</v>
      </c>
      <c r="P30" s="47">
        <f t="shared" ca="1" si="1"/>
        <v>734</v>
      </c>
      <c r="Q30" s="71" t="str">
        <f t="shared" si="2"/>
        <v>2024-05</v>
      </c>
      <c r="R30" s="49">
        <f t="shared" si="3"/>
        <v>202405</v>
      </c>
    </row>
    <row r="31" spans="1:18" ht="15.75" customHeight="1">
      <c r="A31" s="69" t="s">
        <v>126</v>
      </c>
      <c r="B31" s="70">
        <v>45427</v>
      </c>
      <c r="C31" s="69" t="s">
        <v>127</v>
      </c>
      <c r="D31" s="69" t="s">
        <v>128</v>
      </c>
      <c r="E31" s="69" t="s">
        <v>35</v>
      </c>
      <c r="F31" s="69" t="s">
        <v>36</v>
      </c>
      <c r="G31" s="69" t="s">
        <v>37</v>
      </c>
      <c r="H31" s="69">
        <v>4</v>
      </c>
      <c r="I31" s="69">
        <v>59.99</v>
      </c>
      <c r="J31" s="69" t="s">
        <v>61</v>
      </c>
      <c r="K31" s="69" t="s">
        <v>67</v>
      </c>
      <c r="L31" s="69" t="s">
        <v>40</v>
      </c>
      <c r="M31" s="70">
        <v>44867</v>
      </c>
      <c r="N31" s="69">
        <v>239.96</v>
      </c>
      <c r="O31" s="47">
        <f t="shared" ca="1" si="0"/>
        <v>1292</v>
      </c>
      <c r="P31" s="47">
        <f t="shared" ca="1" si="1"/>
        <v>732</v>
      </c>
      <c r="Q31" s="71" t="str">
        <f t="shared" si="2"/>
        <v>2024-05</v>
      </c>
      <c r="R31" s="49">
        <f t="shared" si="3"/>
        <v>202405</v>
      </c>
    </row>
    <row r="32" spans="1:18" ht="15.75" customHeight="1">
      <c r="A32" s="69" t="s">
        <v>129</v>
      </c>
      <c r="B32" s="70">
        <v>45427</v>
      </c>
      <c r="C32" s="69" t="s">
        <v>59</v>
      </c>
      <c r="D32" s="69" t="s">
        <v>60</v>
      </c>
      <c r="E32" s="69" t="s">
        <v>130</v>
      </c>
      <c r="F32" s="69" t="s">
        <v>131</v>
      </c>
      <c r="G32" s="69" t="s">
        <v>50</v>
      </c>
      <c r="H32" s="69">
        <v>5</v>
      </c>
      <c r="I32" s="69">
        <v>199.99</v>
      </c>
      <c r="J32" s="69" t="s">
        <v>24</v>
      </c>
      <c r="K32" s="69" t="s">
        <v>39</v>
      </c>
      <c r="L32" s="69" t="s">
        <v>40</v>
      </c>
      <c r="M32" s="70">
        <v>44412</v>
      </c>
      <c r="N32" s="69">
        <v>999.95</v>
      </c>
      <c r="O32" s="47">
        <f t="shared" ca="1" si="0"/>
        <v>1747</v>
      </c>
      <c r="P32" s="47">
        <f t="shared" ca="1" si="1"/>
        <v>732</v>
      </c>
      <c r="Q32" s="71" t="str">
        <f t="shared" si="2"/>
        <v>2024-05</v>
      </c>
      <c r="R32" s="49">
        <f t="shared" si="3"/>
        <v>202405</v>
      </c>
    </row>
    <row r="33" spans="1:18" ht="15.75" customHeight="1">
      <c r="A33" s="69" t="s">
        <v>132</v>
      </c>
      <c r="B33" s="70">
        <v>45428</v>
      </c>
      <c r="C33" s="69" t="s">
        <v>133</v>
      </c>
      <c r="D33" s="69" t="s">
        <v>134</v>
      </c>
      <c r="E33" s="69" t="s">
        <v>48</v>
      </c>
      <c r="F33" s="69" t="s">
        <v>49</v>
      </c>
      <c r="G33" s="69" t="s">
        <v>50</v>
      </c>
      <c r="H33" s="69">
        <v>2</v>
      </c>
      <c r="I33" s="69">
        <v>149.99</v>
      </c>
      <c r="J33" s="69" t="s">
        <v>30</v>
      </c>
      <c r="K33" s="69" t="s">
        <v>54</v>
      </c>
      <c r="L33" s="69" t="s">
        <v>26</v>
      </c>
      <c r="M33" s="70">
        <v>44823</v>
      </c>
      <c r="N33" s="69">
        <v>299.98</v>
      </c>
      <c r="O33" s="47">
        <f t="shared" ca="1" si="0"/>
        <v>1336</v>
      </c>
      <c r="P33" s="47">
        <f t="shared" ca="1" si="1"/>
        <v>731</v>
      </c>
      <c r="Q33" s="71" t="str">
        <f t="shared" si="2"/>
        <v>2024-05</v>
      </c>
      <c r="R33" s="49">
        <f t="shared" si="3"/>
        <v>202405</v>
      </c>
    </row>
    <row r="34" spans="1:18" ht="15.75" customHeight="1">
      <c r="A34" s="69" t="s">
        <v>135</v>
      </c>
      <c r="B34" s="70">
        <v>45430</v>
      </c>
      <c r="C34" s="69" t="s">
        <v>136</v>
      </c>
      <c r="D34" s="69" t="s">
        <v>137</v>
      </c>
      <c r="E34" s="69" t="s">
        <v>48</v>
      </c>
      <c r="F34" s="69" t="s">
        <v>49</v>
      </c>
      <c r="G34" s="69" t="s">
        <v>50</v>
      </c>
      <c r="H34" s="69">
        <v>3</v>
      </c>
      <c r="I34" s="69">
        <v>149.99</v>
      </c>
      <c r="J34" s="69" t="s">
        <v>30</v>
      </c>
      <c r="K34" s="69" t="s">
        <v>54</v>
      </c>
      <c r="L34" s="69" t="s">
        <v>31</v>
      </c>
      <c r="M34" s="70">
        <v>45068</v>
      </c>
      <c r="N34" s="69">
        <v>449.97</v>
      </c>
      <c r="O34" s="47">
        <f t="shared" ca="1" si="0"/>
        <v>1091</v>
      </c>
      <c r="P34" s="47">
        <f t="shared" ca="1" si="1"/>
        <v>729</v>
      </c>
      <c r="Q34" s="71" t="str">
        <f t="shared" si="2"/>
        <v>2024-05</v>
      </c>
      <c r="R34" s="49">
        <f t="shared" si="3"/>
        <v>202405</v>
      </c>
    </row>
    <row r="35" spans="1:18" ht="15.75" customHeight="1">
      <c r="A35" s="69" t="s">
        <v>138</v>
      </c>
      <c r="B35" s="70">
        <v>45432</v>
      </c>
      <c r="C35" s="69" t="s">
        <v>33</v>
      </c>
      <c r="D35" s="69" t="s">
        <v>34</v>
      </c>
      <c r="E35" s="69" t="s">
        <v>65</v>
      </c>
      <c r="F35" s="69" t="s">
        <v>66</v>
      </c>
      <c r="G35" s="69" t="s">
        <v>23</v>
      </c>
      <c r="H35" s="69">
        <v>1</v>
      </c>
      <c r="I35" s="69">
        <v>899.99</v>
      </c>
      <c r="J35" s="69" t="s">
        <v>30</v>
      </c>
      <c r="K35" s="69" t="s">
        <v>54</v>
      </c>
      <c r="L35" s="69" t="s">
        <v>31</v>
      </c>
      <c r="M35" s="70">
        <v>44578</v>
      </c>
      <c r="N35" s="69">
        <v>899.99</v>
      </c>
      <c r="O35" s="47">
        <f t="shared" ca="1" si="0"/>
        <v>1581</v>
      </c>
      <c r="P35" s="47">
        <f t="shared" ca="1" si="1"/>
        <v>727</v>
      </c>
      <c r="Q35" s="71" t="str">
        <f t="shared" si="2"/>
        <v>2024-05</v>
      </c>
      <c r="R35" s="49">
        <f t="shared" si="3"/>
        <v>202405</v>
      </c>
    </row>
    <row r="36" spans="1:18" ht="15.75" customHeight="1">
      <c r="A36" s="69" t="s">
        <v>139</v>
      </c>
      <c r="B36" s="70">
        <v>45434</v>
      </c>
      <c r="C36" s="69" t="s">
        <v>103</v>
      </c>
      <c r="D36" s="69" t="s">
        <v>104</v>
      </c>
      <c r="E36" s="69" t="s">
        <v>109</v>
      </c>
      <c r="F36" s="69" t="s">
        <v>110</v>
      </c>
      <c r="G36" s="69" t="s">
        <v>50</v>
      </c>
      <c r="H36" s="69">
        <v>3</v>
      </c>
      <c r="I36" s="69">
        <v>299.99</v>
      </c>
      <c r="J36" s="69" t="s">
        <v>30</v>
      </c>
      <c r="K36" s="69" t="s">
        <v>67</v>
      </c>
      <c r="L36" s="69" t="s">
        <v>26</v>
      </c>
      <c r="M36" s="70">
        <v>44824</v>
      </c>
      <c r="N36" s="69">
        <v>899.97</v>
      </c>
      <c r="O36" s="47">
        <f t="shared" ca="1" si="0"/>
        <v>1335</v>
      </c>
      <c r="P36" s="47">
        <f t="shared" ca="1" si="1"/>
        <v>725</v>
      </c>
      <c r="Q36" s="71" t="str">
        <f t="shared" si="2"/>
        <v>2024-05</v>
      </c>
      <c r="R36" s="49">
        <f t="shared" si="3"/>
        <v>202405</v>
      </c>
    </row>
    <row r="37" spans="1:18" ht="15.75" customHeight="1">
      <c r="A37" s="69" t="s">
        <v>140</v>
      </c>
      <c r="B37" s="70">
        <v>45435</v>
      </c>
      <c r="C37" s="69" t="s">
        <v>133</v>
      </c>
      <c r="D37" s="69" t="s">
        <v>134</v>
      </c>
      <c r="E37" s="69" t="s">
        <v>118</v>
      </c>
      <c r="F37" s="69" t="s">
        <v>119</v>
      </c>
      <c r="G37" s="69" t="s">
        <v>37</v>
      </c>
      <c r="H37" s="69">
        <v>3</v>
      </c>
      <c r="I37" s="69">
        <v>79.989999999999995</v>
      </c>
      <c r="J37" s="69" t="s">
        <v>24</v>
      </c>
      <c r="K37" s="69" t="s">
        <v>39</v>
      </c>
      <c r="L37" s="69" t="s">
        <v>26</v>
      </c>
      <c r="M37" s="70">
        <v>45046</v>
      </c>
      <c r="N37" s="69">
        <v>239.97</v>
      </c>
      <c r="O37" s="47">
        <f t="shared" ca="1" si="0"/>
        <v>1113</v>
      </c>
      <c r="P37" s="47">
        <f t="shared" ca="1" si="1"/>
        <v>724</v>
      </c>
      <c r="Q37" s="71" t="str">
        <f t="shared" si="2"/>
        <v>2024-05</v>
      </c>
      <c r="R37" s="49">
        <f t="shared" si="3"/>
        <v>202405</v>
      </c>
    </row>
    <row r="38" spans="1:18" ht="15.75" customHeight="1">
      <c r="A38" s="69" t="s">
        <v>141</v>
      </c>
      <c r="B38" s="70">
        <v>45438</v>
      </c>
      <c r="C38" s="69" t="s">
        <v>142</v>
      </c>
      <c r="D38" s="69" t="s">
        <v>143</v>
      </c>
      <c r="E38" s="69" t="s">
        <v>130</v>
      </c>
      <c r="F38" s="69" t="s">
        <v>131</v>
      </c>
      <c r="G38" s="69" t="s">
        <v>50</v>
      </c>
      <c r="H38" s="69">
        <v>3</v>
      </c>
      <c r="I38" s="69">
        <v>199.99</v>
      </c>
      <c r="J38" s="69" t="s">
        <v>30</v>
      </c>
      <c r="K38" s="69" t="s">
        <v>44</v>
      </c>
      <c r="L38" s="69" t="s">
        <v>31</v>
      </c>
      <c r="M38" s="70">
        <v>45292</v>
      </c>
      <c r="N38" s="69">
        <v>599.97</v>
      </c>
      <c r="O38" s="47">
        <f t="shared" ca="1" si="0"/>
        <v>867</v>
      </c>
      <c r="P38" s="47">
        <f t="shared" ca="1" si="1"/>
        <v>721</v>
      </c>
      <c r="Q38" s="71" t="str">
        <f t="shared" si="2"/>
        <v>2024-05</v>
      </c>
      <c r="R38" s="49">
        <f t="shared" si="3"/>
        <v>202405</v>
      </c>
    </row>
    <row r="39" spans="1:18" ht="15.75" customHeight="1">
      <c r="A39" s="69" t="s">
        <v>144</v>
      </c>
      <c r="B39" s="70">
        <v>45440</v>
      </c>
      <c r="C39" s="69" t="s">
        <v>145</v>
      </c>
      <c r="D39" s="69" t="s">
        <v>146</v>
      </c>
      <c r="E39" s="69" t="s">
        <v>84</v>
      </c>
      <c r="F39" s="69" t="s">
        <v>85</v>
      </c>
      <c r="G39" s="69" t="s">
        <v>23</v>
      </c>
      <c r="H39" s="69">
        <v>5</v>
      </c>
      <c r="I39" s="69">
        <v>699.99</v>
      </c>
      <c r="J39" s="69" t="s">
        <v>38</v>
      </c>
      <c r="K39" s="69" t="s">
        <v>54</v>
      </c>
      <c r="L39" s="69" t="s">
        <v>40</v>
      </c>
      <c r="M39" s="70">
        <v>44407</v>
      </c>
      <c r="N39" s="69">
        <v>3499.95</v>
      </c>
      <c r="O39" s="47">
        <f t="shared" ca="1" si="0"/>
        <v>1752</v>
      </c>
      <c r="P39" s="47">
        <f t="shared" ca="1" si="1"/>
        <v>719</v>
      </c>
      <c r="Q39" s="71" t="str">
        <f t="shared" si="2"/>
        <v>2024-05</v>
      </c>
      <c r="R39" s="49">
        <f t="shared" si="3"/>
        <v>202405</v>
      </c>
    </row>
    <row r="40" spans="1:18" ht="15.75" customHeight="1">
      <c r="A40" s="69" t="s">
        <v>147</v>
      </c>
      <c r="B40" s="70">
        <v>45441</v>
      </c>
      <c r="C40" s="69" t="s">
        <v>148</v>
      </c>
      <c r="D40" s="69" t="s">
        <v>149</v>
      </c>
      <c r="E40" s="69" t="s">
        <v>121</v>
      </c>
      <c r="F40" s="69" t="s">
        <v>122</v>
      </c>
      <c r="G40" s="69" t="s">
        <v>23</v>
      </c>
      <c r="H40" s="69">
        <v>3</v>
      </c>
      <c r="I40" s="69">
        <v>89.99</v>
      </c>
      <c r="J40" s="69" t="s">
        <v>38</v>
      </c>
      <c r="K40" s="69" t="s">
        <v>25</v>
      </c>
      <c r="L40" s="69" t="s">
        <v>31</v>
      </c>
      <c r="M40" s="70">
        <v>45120</v>
      </c>
      <c r="N40" s="69">
        <v>269.97000000000003</v>
      </c>
      <c r="O40" s="47">
        <f t="shared" ca="1" si="0"/>
        <v>1039</v>
      </c>
      <c r="P40" s="47">
        <f t="shared" ca="1" si="1"/>
        <v>718</v>
      </c>
      <c r="Q40" s="71" t="str">
        <f t="shared" si="2"/>
        <v>2024-05</v>
      </c>
      <c r="R40" s="49">
        <f t="shared" si="3"/>
        <v>202405</v>
      </c>
    </row>
    <row r="41" spans="1:18" ht="15.75" customHeight="1">
      <c r="A41" s="69" t="s">
        <v>150</v>
      </c>
      <c r="B41" s="70">
        <v>45443</v>
      </c>
      <c r="C41" s="69" t="s">
        <v>151</v>
      </c>
      <c r="D41" s="69" t="s">
        <v>152</v>
      </c>
      <c r="E41" s="69" t="s">
        <v>118</v>
      </c>
      <c r="F41" s="69" t="s">
        <v>119</v>
      </c>
      <c r="G41" s="69" t="s">
        <v>37</v>
      </c>
      <c r="H41" s="69">
        <v>1</v>
      </c>
      <c r="I41" s="69">
        <v>79.989999999999995</v>
      </c>
      <c r="J41" s="69" t="s">
        <v>24</v>
      </c>
      <c r="K41" s="69" t="s">
        <v>44</v>
      </c>
      <c r="L41" s="69" t="s">
        <v>40</v>
      </c>
      <c r="M41" s="70">
        <v>44917</v>
      </c>
      <c r="N41" s="69">
        <v>79.989999999999995</v>
      </c>
      <c r="O41" s="47">
        <f t="shared" ca="1" si="0"/>
        <v>1242</v>
      </c>
      <c r="P41" s="47">
        <f t="shared" ca="1" si="1"/>
        <v>716</v>
      </c>
      <c r="Q41" s="71" t="str">
        <f t="shared" si="2"/>
        <v>2024-05</v>
      </c>
      <c r="R41" s="49">
        <f t="shared" si="3"/>
        <v>202405</v>
      </c>
    </row>
    <row r="42" spans="1:18" ht="15.75" customHeight="1">
      <c r="A42" s="69" t="s">
        <v>153</v>
      </c>
      <c r="B42" s="70">
        <v>45444</v>
      </c>
      <c r="C42" s="69" t="s">
        <v>154</v>
      </c>
      <c r="D42" s="69" t="s">
        <v>155</v>
      </c>
      <c r="E42" s="69" t="s">
        <v>35</v>
      </c>
      <c r="F42" s="69" t="s">
        <v>36</v>
      </c>
      <c r="G42" s="69" t="s">
        <v>37</v>
      </c>
      <c r="H42" s="69">
        <v>2</v>
      </c>
      <c r="I42" s="69">
        <v>59.99</v>
      </c>
      <c r="J42" s="69" t="s">
        <v>24</v>
      </c>
      <c r="K42" s="69" t="s">
        <v>54</v>
      </c>
      <c r="L42" s="69" t="s">
        <v>26</v>
      </c>
      <c r="M42" s="70">
        <v>45390</v>
      </c>
      <c r="N42" s="69">
        <v>119.98</v>
      </c>
      <c r="O42" s="47">
        <f t="shared" ca="1" si="0"/>
        <v>769</v>
      </c>
      <c r="P42" s="47">
        <f t="shared" ca="1" si="1"/>
        <v>715</v>
      </c>
      <c r="Q42" s="71" t="str">
        <f t="shared" si="2"/>
        <v>2024-06</v>
      </c>
      <c r="R42" s="49">
        <f t="shared" si="3"/>
        <v>202406</v>
      </c>
    </row>
    <row r="43" spans="1:18" ht="15.75" customHeight="1">
      <c r="A43" s="69" t="s">
        <v>156</v>
      </c>
      <c r="B43" s="70">
        <v>45444</v>
      </c>
      <c r="C43" s="69" t="s">
        <v>59</v>
      </c>
      <c r="D43" s="69" t="s">
        <v>60</v>
      </c>
      <c r="E43" s="69" t="s">
        <v>121</v>
      </c>
      <c r="F43" s="69" t="s">
        <v>122</v>
      </c>
      <c r="G43" s="69" t="s">
        <v>23</v>
      </c>
      <c r="H43" s="69">
        <v>1</v>
      </c>
      <c r="I43" s="69">
        <v>89.99</v>
      </c>
      <c r="J43" s="69" t="s">
        <v>24</v>
      </c>
      <c r="K43" s="69" t="s">
        <v>44</v>
      </c>
      <c r="L43" s="69" t="s">
        <v>26</v>
      </c>
      <c r="M43" s="70">
        <v>45141</v>
      </c>
      <c r="N43" s="69">
        <v>89.99</v>
      </c>
      <c r="O43" s="47">
        <f t="shared" ca="1" si="0"/>
        <v>1018</v>
      </c>
      <c r="P43" s="47">
        <f t="shared" ca="1" si="1"/>
        <v>715</v>
      </c>
      <c r="Q43" s="71" t="str">
        <f t="shared" si="2"/>
        <v>2024-06</v>
      </c>
      <c r="R43" s="49">
        <f t="shared" si="3"/>
        <v>202406</v>
      </c>
    </row>
    <row r="44" spans="1:18" ht="15.75" customHeight="1">
      <c r="A44" s="69" t="s">
        <v>157</v>
      </c>
      <c r="B44" s="70">
        <v>45446</v>
      </c>
      <c r="C44" s="69" t="s">
        <v>158</v>
      </c>
      <c r="D44" s="69" t="s">
        <v>159</v>
      </c>
      <c r="E44" s="69" t="s">
        <v>121</v>
      </c>
      <c r="F44" s="69" t="s">
        <v>122</v>
      </c>
      <c r="G44" s="69" t="s">
        <v>23</v>
      </c>
      <c r="H44" s="69">
        <v>5</v>
      </c>
      <c r="I44" s="69">
        <v>89.99</v>
      </c>
      <c r="J44" s="69" t="s">
        <v>30</v>
      </c>
      <c r="K44" s="69" t="s">
        <v>67</v>
      </c>
      <c r="L44" s="69" t="s">
        <v>40</v>
      </c>
      <c r="M44" s="70">
        <v>44587</v>
      </c>
      <c r="N44" s="69">
        <v>449.95</v>
      </c>
      <c r="O44" s="47">
        <f t="shared" ca="1" si="0"/>
        <v>1572</v>
      </c>
      <c r="P44" s="47">
        <f t="shared" ca="1" si="1"/>
        <v>713</v>
      </c>
      <c r="Q44" s="71" t="str">
        <f t="shared" si="2"/>
        <v>2024-06</v>
      </c>
      <c r="R44" s="49">
        <f t="shared" si="3"/>
        <v>202406</v>
      </c>
    </row>
    <row r="45" spans="1:18" ht="15.75" customHeight="1">
      <c r="A45" s="69" t="s">
        <v>160</v>
      </c>
      <c r="B45" s="70">
        <v>45449</v>
      </c>
      <c r="C45" s="69" t="s">
        <v>28</v>
      </c>
      <c r="D45" s="69" t="s">
        <v>29</v>
      </c>
      <c r="E45" s="69" t="s">
        <v>21</v>
      </c>
      <c r="F45" s="69" t="s">
        <v>22</v>
      </c>
      <c r="G45" s="69" t="s">
        <v>23</v>
      </c>
      <c r="H45" s="69">
        <v>5</v>
      </c>
      <c r="I45" s="69">
        <v>249.99</v>
      </c>
      <c r="J45" s="69" t="s">
        <v>30</v>
      </c>
      <c r="K45" s="69" t="s">
        <v>67</v>
      </c>
      <c r="L45" s="69" t="s">
        <v>40</v>
      </c>
      <c r="M45" s="70">
        <v>44707</v>
      </c>
      <c r="N45" s="69">
        <v>1249.95</v>
      </c>
      <c r="O45" s="47">
        <f t="shared" ca="1" si="0"/>
        <v>1452</v>
      </c>
      <c r="P45" s="47">
        <f t="shared" ca="1" si="1"/>
        <v>710</v>
      </c>
      <c r="Q45" s="71" t="str">
        <f t="shared" si="2"/>
        <v>2024-06</v>
      </c>
      <c r="R45" s="49">
        <f t="shared" si="3"/>
        <v>202406</v>
      </c>
    </row>
    <row r="46" spans="1:18" ht="15.75" customHeight="1">
      <c r="A46" s="69" t="s">
        <v>161</v>
      </c>
      <c r="B46" s="70">
        <v>45449</v>
      </c>
      <c r="C46" s="69" t="s">
        <v>162</v>
      </c>
      <c r="D46" s="69" t="s">
        <v>163</v>
      </c>
      <c r="E46" s="69" t="s">
        <v>121</v>
      </c>
      <c r="F46" s="69" t="s">
        <v>122</v>
      </c>
      <c r="G46" s="69" t="s">
        <v>23</v>
      </c>
      <c r="H46" s="69">
        <v>1</v>
      </c>
      <c r="I46" s="69">
        <v>89.99</v>
      </c>
      <c r="J46" s="69" t="s">
        <v>30</v>
      </c>
      <c r="K46" s="69" t="s">
        <v>39</v>
      </c>
      <c r="L46" s="69" t="s">
        <v>40</v>
      </c>
      <c r="M46" s="70">
        <v>44582</v>
      </c>
      <c r="N46" s="69">
        <v>89.99</v>
      </c>
      <c r="O46" s="47">
        <f t="shared" ca="1" si="0"/>
        <v>1577</v>
      </c>
      <c r="P46" s="47">
        <f t="shared" ca="1" si="1"/>
        <v>710</v>
      </c>
      <c r="Q46" s="71" t="str">
        <f t="shared" si="2"/>
        <v>2024-06</v>
      </c>
      <c r="R46" s="49">
        <f t="shared" si="3"/>
        <v>202406</v>
      </c>
    </row>
    <row r="47" spans="1:18" ht="15.75" customHeight="1">
      <c r="A47" s="69" t="s">
        <v>164</v>
      </c>
      <c r="B47" s="70">
        <v>45450</v>
      </c>
      <c r="C47" s="69" t="s">
        <v>46</v>
      </c>
      <c r="D47" s="69" t="s">
        <v>47</v>
      </c>
      <c r="E47" s="69" t="s">
        <v>48</v>
      </c>
      <c r="F47" s="69" t="s">
        <v>49</v>
      </c>
      <c r="G47" s="69" t="s">
        <v>50</v>
      </c>
      <c r="H47" s="69">
        <v>2</v>
      </c>
      <c r="I47" s="69">
        <v>149.99</v>
      </c>
      <c r="J47" s="69" t="s">
        <v>24</v>
      </c>
      <c r="K47" s="69" t="s">
        <v>67</v>
      </c>
      <c r="L47" s="69" t="s">
        <v>31</v>
      </c>
      <c r="M47" s="70">
        <v>44645</v>
      </c>
      <c r="N47" s="69">
        <v>299.98</v>
      </c>
      <c r="O47" s="47">
        <f t="shared" ca="1" si="0"/>
        <v>1514</v>
      </c>
      <c r="P47" s="47">
        <f t="shared" ca="1" si="1"/>
        <v>709</v>
      </c>
      <c r="Q47" s="71" t="str">
        <f t="shared" si="2"/>
        <v>2024-06</v>
      </c>
      <c r="R47" s="49">
        <f t="shared" si="3"/>
        <v>202406</v>
      </c>
    </row>
    <row r="48" spans="1:18" ht="15.75" customHeight="1">
      <c r="A48" s="69" t="s">
        <v>165</v>
      </c>
      <c r="B48" s="70">
        <v>45452</v>
      </c>
      <c r="C48" s="69" t="s">
        <v>166</v>
      </c>
      <c r="D48" s="69" t="s">
        <v>167</v>
      </c>
      <c r="E48" s="69" t="s">
        <v>35</v>
      </c>
      <c r="F48" s="69" t="s">
        <v>36</v>
      </c>
      <c r="G48" s="69" t="s">
        <v>37</v>
      </c>
      <c r="H48" s="69">
        <v>4</v>
      </c>
      <c r="I48" s="69">
        <v>59.99</v>
      </c>
      <c r="J48" s="69" t="s">
        <v>24</v>
      </c>
      <c r="K48" s="69" t="s">
        <v>67</v>
      </c>
      <c r="L48" s="69" t="s">
        <v>40</v>
      </c>
      <c r="M48" s="70">
        <v>44435</v>
      </c>
      <c r="N48" s="69">
        <v>239.96</v>
      </c>
      <c r="O48" s="47">
        <f t="shared" ca="1" si="0"/>
        <v>1724</v>
      </c>
      <c r="P48" s="47">
        <f t="shared" ca="1" si="1"/>
        <v>707</v>
      </c>
      <c r="Q48" s="71" t="str">
        <f t="shared" si="2"/>
        <v>2024-06</v>
      </c>
      <c r="R48" s="49">
        <f t="shared" si="3"/>
        <v>202406</v>
      </c>
    </row>
    <row r="49" spans="1:18" ht="15.75" customHeight="1">
      <c r="A49" s="69" t="s">
        <v>168</v>
      </c>
      <c r="B49" s="70">
        <v>45456</v>
      </c>
      <c r="C49" s="69" t="s">
        <v>133</v>
      </c>
      <c r="D49" s="69" t="s">
        <v>134</v>
      </c>
      <c r="E49" s="69" t="s">
        <v>121</v>
      </c>
      <c r="F49" s="69" t="s">
        <v>122</v>
      </c>
      <c r="G49" s="69" t="s">
        <v>23</v>
      </c>
      <c r="H49" s="69">
        <v>5</v>
      </c>
      <c r="I49" s="69">
        <v>89.99</v>
      </c>
      <c r="J49" s="69" t="s">
        <v>24</v>
      </c>
      <c r="K49" s="69" t="s">
        <v>25</v>
      </c>
      <c r="L49" s="69" t="s">
        <v>31</v>
      </c>
      <c r="M49" s="70">
        <v>44579</v>
      </c>
      <c r="N49" s="69">
        <v>449.95</v>
      </c>
      <c r="O49" s="47">
        <f t="shared" ca="1" si="0"/>
        <v>1580</v>
      </c>
      <c r="P49" s="47">
        <f t="shared" ca="1" si="1"/>
        <v>703</v>
      </c>
      <c r="Q49" s="71" t="str">
        <f t="shared" si="2"/>
        <v>2024-06</v>
      </c>
      <c r="R49" s="49">
        <f t="shared" si="3"/>
        <v>202406</v>
      </c>
    </row>
    <row r="50" spans="1:18" ht="15.75" customHeight="1">
      <c r="A50" s="69" t="s">
        <v>169</v>
      </c>
      <c r="B50" s="70">
        <v>45459</v>
      </c>
      <c r="C50" s="69" t="s">
        <v>103</v>
      </c>
      <c r="D50" s="69" t="s">
        <v>104</v>
      </c>
      <c r="E50" s="69" t="s">
        <v>121</v>
      </c>
      <c r="F50" s="69" t="s">
        <v>122</v>
      </c>
      <c r="G50" s="69" t="s">
        <v>23</v>
      </c>
      <c r="H50" s="69">
        <v>2</v>
      </c>
      <c r="I50" s="69">
        <v>89.99</v>
      </c>
      <c r="J50" s="69" t="s">
        <v>30</v>
      </c>
      <c r="K50" s="69" t="s">
        <v>39</v>
      </c>
      <c r="L50" s="69" t="s">
        <v>31</v>
      </c>
      <c r="M50" s="70">
        <v>44471</v>
      </c>
      <c r="N50" s="69">
        <v>179.98</v>
      </c>
      <c r="O50" s="47">
        <f t="shared" ca="1" si="0"/>
        <v>1688</v>
      </c>
      <c r="P50" s="47">
        <f t="shared" ca="1" si="1"/>
        <v>700</v>
      </c>
      <c r="Q50" s="71" t="str">
        <f t="shared" si="2"/>
        <v>2024-06</v>
      </c>
      <c r="R50" s="49">
        <f t="shared" si="3"/>
        <v>202406</v>
      </c>
    </row>
    <row r="51" spans="1:18" ht="15.75" customHeight="1">
      <c r="A51" s="69" t="s">
        <v>170</v>
      </c>
      <c r="B51" s="70">
        <v>45459</v>
      </c>
      <c r="C51" s="69" t="s">
        <v>19</v>
      </c>
      <c r="D51" s="69" t="s">
        <v>20</v>
      </c>
      <c r="E51" s="69" t="s">
        <v>65</v>
      </c>
      <c r="F51" s="69" t="s">
        <v>66</v>
      </c>
      <c r="G51" s="69" t="s">
        <v>23</v>
      </c>
      <c r="H51" s="69">
        <v>5</v>
      </c>
      <c r="I51" s="69">
        <v>899.99</v>
      </c>
      <c r="J51" s="69" t="s">
        <v>30</v>
      </c>
      <c r="K51" s="69" t="s">
        <v>39</v>
      </c>
      <c r="L51" s="69" t="s">
        <v>40</v>
      </c>
      <c r="M51" s="70">
        <v>44974</v>
      </c>
      <c r="N51" s="69">
        <v>4499.95</v>
      </c>
      <c r="O51" s="47">
        <f t="shared" ca="1" si="0"/>
        <v>1185</v>
      </c>
      <c r="P51" s="47">
        <f t="shared" ca="1" si="1"/>
        <v>700</v>
      </c>
      <c r="Q51" s="71" t="str">
        <f t="shared" si="2"/>
        <v>2024-06</v>
      </c>
      <c r="R51" s="49">
        <f t="shared" si="3"/>
        <v>202406</v>
      </c>
    </row>
    <row r="52" spans="1:18" ht="15.75" customHeight="1">
      <c r="A52" s="69" t="s">
        <v>171</v>
      </c>
      <c r="B52" s="70">
        <v>45459</v>
      </c>
      <c r="C52" s="69" t="s">
        <v>127</v>
      </c>
      <c r="D52" s="69" t="s">
        <v>128</v>
      </c>
      <c r="E52" s="69" t="s">
        <v>65</v>
      </c>
      <c r="F52" s="69" t="s">
        <v>66</v>
      </c>
      <c r="G52" s="69" t="s">
        <v>23</v>
      </c>
      <c r="H52" s="69">
        <v>5</v>
      </c>
      <c r="I52" s="69">
        <v>899.99</v>
      </c>
      <c r="J52" s="69" t="s">
        <v>38</v>
      </c>
      <c r="K52" s="69" t="s">
        <v>67</v>
      </c>
      <c r="L52" s="69" t="s">
        <v>31</v>
      </c>
      <c r="M52" s="70">
        <v>45278</v>
      </c>
      <c r="N52" s="69">
        <v>4499.95</v>
      </c>
      <c r="O52" s="47">
        <f t="shared" ca="1" si="0"/>
        <v>881</v>
      </c>
      <c r="P52" s="47">
        <f t="shared" ca="1" si="1"/>
        <v>700</v>
      </c>
      <c r="Q52" s="71" t="str">
        <f t="shared" si="2"/>
        <v>2024-06</v>
      </c>
      <c r="R52" s="49">
        <f t="shared" si="3"/>
        <v>202406</v>
      </c>
    </row>
    <row r="53" spans="1:18" ht="15.75" customHeight="1">
      <c r="A53" s="69" t="s">
        <v>172</v>
      </c>
      <c r="B53" s="70">
        <v>45460</v>
      </c>
      <c r="C53" s="69" t="s">
        <v>162</v>
      </c>
      <c r="D53" s="69" t="s">
        <v>163</v>
      </c>
      <c r="E53" s="69" t="s">
        <v>35</v>
      </c>
      <c r="F53" s="69" t="s">
        <v>36</v>
      </c>
      <c r="G53" s="69" t="s">
        <v>37</v>
      </c>
      <c r="H53" s="69">
        <v>1</v>
      </c>
      <c r="I53" s="69">
        <v>59.99</v>
      </c>
      <c r="J53" s="69" t="s">
        <v>61</v>
      </c>
      <c r="K53" s="69" t="s">
        <v>54</v>
      </c>
      <c r="L53" s="69" t="s">
        <v>31</v>
      </c>
      <c r="M53" s="70">
        <v>45190</v>
      </c>
      <c r="N53" s="69">
        <v>59.99</v>
      </c>
      <c r="O53" s="47">
        <f t="shared" ca="1" si="0"/>
        <v>969</v>
      </c>
      <c r="P53" s="47">
        <f t="shared" ca="1" si="1"/>
        <v>699</v>
      </c>
      <c r="Q53" s="71" t="str">
        <f t="shared" si="2"/>
        <v>2024-06</v>
      </c>
      <c r="R53" s="49">
        <f t="shared" si="3"/>
        <v>202406</v>
      </c>
    </row>
    <row r="54" spans="1:18" ht="15.75" customHeight="1">
      <c r="A54" s="69" t="s">
        <v>173</v>
      </c>
      <c r="B54" s="70">
        <v>45460</v>
      </c>
      <c r="C54" s="69" t="s">
        <v>145</v>
      </c>
      <c r="D54" s="69" t="s">
        <v>146</v>
      </c>
      <c r="E54" s="69" t="s">
        <v>109</v>
      </c>
      <c r="F54" s="69" t="s">
        <v>110</v>
      </c>
      <c r="G54" s="69" t="s">
        <v>50</v>
      </c>
      <c r="H54" s="69">
        <v>2</v>
      </c>
      <c r="I54" s="69">
        <v>299.99</v>
      </c>
      <c r="J54" s="69" t="s">
        <v>61</v>
      </c>
      <c r="K54" s="69" t="s">
        <v>67</v>
      </c>
      <c r="L54" s="69" t="s">
        <v>40</v>
      </c>
      <c r="M54" s="70">
        <v>45253</v>
      </c>
      <c r="N54" s="69">
        <v>599.98</v>
      </c>
      <c r="O54" s="47">
        <f t="shared" ca="1" si="0"/>
        <v>906</v>
      </c>
      <c r="P54" s="47">
        <f t="shared" ca="1" si="1"/>
        <v>699</v>
      </c>
      <c r="Q54" s="71" t="str">
        <f t="shared" si="2"/>
        <v>2024-06</v>
      </c>
      <c r="R54" s="49">
        <f t="shared" si="3"/>
        <v>202406</v>
      </c>
    </row>
    <row r="55" spans="1:18" ht="15.75" customHeight="1">
      <c r="A55" s="69" t="s">
        <v>174</v>
      </c>
      <c r="B55" s="70">
        <v>45468</v>
      </c>
      <c r="C55" s="69" t="s">
        <v>175</v>
      </c>
      <c r="D55" s="69" t="s">
        <v>176</v>
      </c>
      <c r="E55" s="69" t="s">
        <v>121</v>
      </c>
      <c r="F55" s="69" t="s">
        <v>122</v>
      </c>
      <c r="G55" s="69" t="s">
        <v>23</v>
      </c>
      <c r="H55" s="69">
        <v>4</v>
      </c>
      <c r="I55" s="69">
        <v>89.99</v>
      </c>
      <c r="J55" s="69" t="s">
        <v>61</v>
      </c>
      <c r="K55" s="69" t="s">
        <v>39</v>
      </c>
      <c r="L55" s="69" t="s">
        <v>26</v>
      </c>
      <c r="M55" s="70">
        <v>45281</v>
      </c>
      <c r="N55" s="69">
        <v>359.96</v>
      </c>
      <c r="O55" s="47">
        <f t="shared" ca="1" si="0"/>
        <v>878</v>
      </c>
      <c r="P55" s="47">
        <f t="shared" ca="1" si="1"/>
        <v>691</v>
      </c>
      <c r="Q55" s="71" t="str">
        <f t="shared" si="2"/>
        <v>2024-06</v>
      </c>
      <c r="R55" s="49">
        <f t="shared" si="3"/>
        <v>202406</v>
      </c>
    </row>
    <row r="56" spans="1:18" ht="15.75" customHeight="1">
      <c r="A56" s="69" t="s">
        <v>177</v>
      </c>
      <c r="B56" s="70">
        <v>45469</v>
      </c>
      <c r="C56" s="69" t="s">
        <v>33</v>
      </c>
      <c r="D56" s="69" t="s">
        <v>34</v>
      </c>
      <c r="E56" s="69" t="s">
        <v>118</v>
      </c>
      <c r="F56" s="69" t="s">
        <v>119</v>
      </c>
      <c r="G56" s="69" t="s">
        <v>37</v>
      </c>
      <c r="H56" s="69">
        <v>1</v>
      </c>
      <c r="I56" s="69">
        <v>79.989999999999995</v>
      </c>
      <c r="J56" s="69" t="s">
        <v>38</v>
      </c>
      <c r="K56" s="69" t="s">
        <v>25</v>
      </c>
      <c r="L56" s="69" t="s">
        <v>31</v>
      </c>
      <c r="M56" s="70">
        <v>45352</v>
      </c>
      <c r="N56" s="69">
        <v>79.989999999999995</v>
      </c>
      <c r="O56" s="47">
        <f t="shared" ca="1" si="0"/>
        <v>807</v>
      </c>
      <c r="P56" s="47">
        <f t="shared" ca="1" si="1"/>
        <v>690</v>
      </c>
      <c r="Q56" s="71" t="str">
        <f t="shared" si="2"/>
        <v>2024-06</v>
      </c>
      <c r="R56" s="49">
        <f t="shared" si="3"/>
        <v>202406</v>
      </c>
    </row>
    <row r="57" spans="1:18" ht="15.75" customHeight="1">
      <c r="A57" s="69" t="s">
        <v>178</v>
      </c>
      <c r="B57" s="70">
        <v>45469</v>
      </c>
      <c r="C57" s="69" t="s">
        <v>63</v>
      </c>
      <c r="D57" s="69" t="s">
        <v>64</v>
      </c>
      <c r="E57" s="69" t="s">
        <v>121</v>
      </c>
      <c r="F57" s="69" t="s">
        <v>122</v>
      </c>
      <c r="G57" s="69" t="s">
        <v>23</v>
      </c>
      <c r="H57" s="69">
        <v>2</v>
      </c>
      <c r="I57" s="69">
        <v>89.99</v>
      </c>
      <c r="J57" s="69" t="s">
        <v>24</v>
      </c>
      <c r="K57" s="69" t="s">
        <v>54</v>
      </c>
      <c r="L57" s="69" t="s">
        <v>26</v>
      </c>
      <c r="M57" s="70">
        <v>44438</v>
      </c>
      <c r="N57" s="69">
        <v>179.98</v>
      </c>
      <c r="O57" s="47">
        <f t="shared" ca="1" si="0"/>
        <v>1721</v>
      </c>
      <c r="P57" s="47">
        <f t="shared" ca="1" si="1"/>
        <v>690</v>
      </c>
      <c r="Q57" s="71" t="str">
        <f t="shared" si="2"/>
        <v>2024-06</v>
      </c>
      <c r="R57" s="49">
        <f t="shared" si="3"/>
        <v>202406</v>
      </c>
    </row>
    <row r="58" spans="1:18" ht="15.75" customHeight="1">
      <c r="A58" s="69" t="s">
        <v>179</v>
      </c>
      <c r="B58" s="70">
        <v>45471</v>
      </c>
      <c r="C58" s="69" t="s">
        <v>42</v>
      </c>
      <c r="D58" s="69" t="s">
        <v>43</v>
      </c>
      <c r="E58" s="69" t="s">
        <v>84</v>
      </c>
      <c r="F58" s="69" t="s">
        <v>85</v>
      </c>
      <c r="G58" s="69" t="s">
        <v>23</v>
      </c>
      <c r="H58" s="69">
        <v>3</v>
      </c>
      <c r="I58" s="69">
        <v>699.99</v>
      </c>
      <c r="J58" s="69" t="s">
        <v>30</v>
      </c>
      <c r="K58" s="69" t="s">
        <v>67</v>
      </c>
      <c r="L58" s="69" t="s">
        <v>31</v>
      </c>
      <c r="M58" s="70">
        <v>45102</v>
      </c>
      <c r="N58" s="69">
        <v>2099.9699999999998</v>
      </c>
      <c r="O58" s="47">
        <f t="shared" ca="1" si="0"/>
        <v>1057</v>
      </c>
      <c r="P58" s="47">
        <f t="shared" ca="1" si="1"/>
        <v>688</v>
      </c>
      <c r="Q58" s="71" t="str">
        <f t="shared" si="2"/>
        <v>2024-06</v>
      </c>
      <c r="R58" s="49">
        <f t="shared" si="3"/>
        <v>202406</v>
      </c>
    </row>
    <row r="59" spans="1:18" ht="15.75" customHeight="1">
      <c r="A59" s="69" t="s">
        <v>180</v>
      </c>
      <c r="B59" s="70">
        <v>45471</v>
      </c>
      <c r="C59" s="69" t="s">
        <v>103</v>
      </c>
      <c r="D59" s="69" t="s">
        <v>104</v>
      </c>
      <c r="E59" s="69" t="s">
        <v>65</v>
      </c>
      <c r="F59" s="69" t="s">
        <v>66</v>
      </c>
      <c r="G59" s="69" t="s">
        <v>23</v>
      </c>
      <c r="H59" s="69">
        <v>4</v>
      </c>
      <c r="I59" s="69">
        <v>899.99</v>
      </c>
      <c r="J59" s="69" t="s">
        <v>30</v>
      </c>
      <c r="K59" s="69" t="s">
        <v>67</v>
      </c>
      <c r="L59" s="69" t="s">
        <v>31</v>
      </c>
      <c r="M59" s="70">
        <v>44993</v>
      </c>
      <c r="N59" s="69">
        <v>3599.96</v>
      </c>
      <c r="O59" s="47">
        <f t="shared" ca="1" si="0"/>
        <v>1166</v>
      </c>
      <c r="P59" s="47">
        <f t="shared" ca="1" si="1"/>
        <v>688</v>
      </c>
      <c r="Q59" s="71" t="str">
        <f t="shared" si="2"/>
        <v>2024-06</v>
      </c>
      <c r="R59" s="49">
        <f t="shared" si="3"/>
        <v>202406</v>
      </c>
    </row>
    <row r="60" spans="1:18" ht="15.75" customHeight="1">
      <c r="A60" s="69" t="s">
        <v>181</v>
      </c>
      <c r="B60" s="70">
        <v>45472</v>
      </c>
      <c r="C60" s="69" t="s">
        <v>124</v>
      </c>
      <c r="D60" s="69" t="s">
        <v>125</v>
      </c>
      <c r="E60" s="69" t="s">
        <v>48</v>
      </c>
      <c r="F60" s="69" t="s">
        <v>49</v>
      </c>
      <c r="G60" s="69" t="s">
        <v>50</v>
      </c>
      <c r="H60" s="69">
        <v>1</v>
      </c>
      <c r="I60" s="69">
        <v>149.99</v>
      </c>
      <c r="J60" s="69" t="s">
        <v>38</v>
      </c>
      <c r="K60" s="69" t="s">
        <v>67</v>
      </c>
      <c r="L60" s="69" t="s">
        <v>26</v>
      </c>
      <c r="M60" s="70">
        <v>44851</v>
      </c>
      <c r="N60" s="69">
        <v>149.99</v>
      </c>
      <c r="O60" s="47">
        <f t="shared" ca="1" si="0"/>
        <v>1308</v>
      </c>
      <c r="P60" s="47">
        <f t="shared" ca="1" si="1"/>
        <v>687</v>
      </c>
      <c r="Q60" s="71" t="str">
        <f t="shared" si="2"/>
        <v>2024-06</v>
      </c>
      <c r="R60" s="49">
        <f t="shared" si="3"/>
        <v>202406</v>
      </c>
    </row>
    <row r="61" spans="1:18" ht="15.75" customHeight="1">
      <c r="A61" s="69" t="s">
        <v>182</v>
      </c>
      <c r="B61" s="70">
        <v>45474</v>
      </c>
      <c r="C61" s="69" t="s">
        <v>136</v>
      </c>
      <c r="D61" s="69" t="s">
        <v>137</v>
      </c>
      <c r="E61" s="69" t="s">
        <v>121</v>
      </c>
      <c r="F61" s="69" t="s">
        <v>122</v>
      </c>
      <c r="G61" s="69" t="s">
        <v>23</v>
      </c>
      <c r="H61" s="69">
        <v>2</v>
      </c>
      <c r="I61" s="69">
        <v>89.99</v>
      </c>
      <c r="J61" s="69" t="s">
        <v>38</v>
      </c>
      <c r="K61" s="69" t="s">
        <v>25</v>
      </c>
      <c r="L61" s="69" t="s">
        <v>31</v>
      </c>
      <c r="M61" s="70">
        <v>45275</v>
      </c>
      <c r="N61" s="69">
        <v>179.98</v>
      </c>
      <c r="O61" s="47">
        <f t="shared" ca="1" si="0"/>
        <v>884</v>
      </c>
      <c r="P61" s="47">
        <f t="shared" ca="1" si="1"/>
        <v>685</v>
      </c>
      <c r="Q61" s="71" t="str">
        <f t="shared" si="2"/>
        <v>2024-07</v>
      </c>
      <c r="R61" s="49">
        <f t="shared" si="3"/>
        <v>202407</v>
      </c>
    </row>
    <row r="62" spans="1:18" ht="15.75" customHeight="1">
      <c r="A62" s="69" t="s">
        <v>183</v>
      </c>
      <c r="B62" s="70">
        <v>45475</v>
      </c>
      <c r="C62" s="69" t="s">
        <v>59</v>
      </c>
      <c r="D62" s="69" t="s">
        <v>60</v>
      </c>
      <c r="E62" s="69" t="s">
        <v>121</v>
      </c>
      <c r="F62" s="69" t="s">
        <v>122</v>
      </c>
      <c r="G62" s="69" t="s">
        <v>23</v>
      </c>
      <c r="H62" s="69">
        <v>1</v>
      </c>
      <c r="I62" s="69">
        <v>89.99</v>
      </c>
      <c r="J62" s="69" t="s">
        <v>38</v>
      </c>
      <c r="K62" s="69" t="s">
        <v>54</v>
      </c>
      <c r="L62" s="69" t="s">
        <v>40</v>
      </c>
      <c r="M62" s="70">
        <v>44802</v>
      </c>
      <c r="N62" s="69">
        <v>89.99</v>
      </c>
      <c r="O62" s="47">
        <f t="shared" ca="1" si="0"/>
        <v>1357</v>
      </c>
      <c r="P62" s="47">
        <f t="shared" ca="1" si="1"/>
        <v>684</v>
      </c>
      <c r="Q62" s="71" t="str">
        <f t="shared" si="2"/>
        <v>2024-07</v>
      </c>
      <c r="R62" s="49">
        <f t="shared" si="3"/>
        <v>202407</v>
      </c>
    </row>
    <row r="63" spans="1:18" ht="15.75" customHeight="1">
      <c r="A63" s="69" t="s">
        <v>184</v>
      </c>
      <c r="B63" s="70">
        <v>45476</v>
      </c>
      <c r="C63" s="69" t="s">
        <v>72</v>
      </c>
      <c r="D63" s="69" t="s">
        <v>73</v>
      </c>
      <c r="E63" s="69" t="s">
        <v>121</v>
      </c>
      <c r="F63" s="69" t="s">
        <v>122</v>
      </c>
      <c r="G63" s="69" t="s">
        <v>23</v>
      </c>
      <c r="H63" s="69">
        <v>1</v>
      </c>
      <c r="I63" s="69">
        <v>89.99</v>
      </c>
      <c r="J63" s="69" t="s">
        <v>24</v>
      </c>
      <c r="K63" s="69" t="s">
        <v>39</v>
      </c>
      <c r="L63" s="69" t="s">
        <v>40</v>
      </c>
      <c r="M63" s="70">
        <v>44611</v>
      </c>
      <c r="N63" s="69">
        <v>89.99</v>
      </c>
      <c r="O63" s="47">
        <f t="shared" ca="1" si="0"/>
        <v>1548</v>
      </c>
      <c r="P63" s="47">
        <f t="shared" ca="1" si="1"/>
        <v>683</v>
      </c>
      <c r="Q63" s="71" t="str">
        <f t="shared" si="2"/>
        <v>2024-07</v>
      </c>
      <c r="R63" s="49">
        <f t="shared" si="3"/>
        <v>202407</v>
      </c>
    </row>
    <row r="64" spans="1:18" ht="15.75" customHeight="1">
      <c r="A64" s="69" t="s">
        <v>185</v>
      </c>
      <c r="B64" s="70">
        <v>45476</v>
      </c>
      <c r="C64" s="69" t="s">
        <v>186</v>
      </c>
      <c r="D64" s="69" t="s">
        <v>187</v>
      </c>
      <c r="E64" s="69" t="s">
        <v>118</v>
      </c>
      <c r="F64" s="69" t="s">
        <v>119</v>
      </c>
      <c r="G64" s="69" t="s">
        <v>37</v>
      </c>
      <c r="H64" s="69">
        <v>5</v>
      </c>
      <c r="I64" s="69">
        <v>79.989999999999995</v>
      </c>
      <c r="J64" s="69" t="s">
        <v>61</v>
      </c>
      <c r="K64" s="69" t="s">
        <v>25</v>
      </c>
      <c r="L64" s="69" t="s">
        <v>26</v>
      </c>
      <c r="M64" s="70">
        <v>44981</v>
      </c>
      <c r="N64" s="69">
        <v>399.95</v>
      </c>
      <c r="O64" s="47">
        <f t="shared" ca="1" si="0"/>
        <v>1178</v>
      </c>
      <c r="P64" s="47">
        <f t="shared" ca="1" si="1"/>
        <v>683</v>
      </c>
      <c r="Q64" s="71" t="str">
        <f t="shared" si="2"/>
        <v>2024-07</v>
      </c>
      <c r="R64" s="49">
        <f t="shared" si="3"/>
        <v>202407</v>
      </c>
    </row>
    <row r="65" spans="1:18" ht="15.75" customHeight="1">
      <c r="A65" s="69" t="s">
        <v>188</v>
      </c>
      <c r="B65" s="70">
        <v>45481</v>
      </c>
      <c r="C65" s="69" t="s">
        <v>189</v>
      </c>
      <c r="D65" s="69" t="s">
        <v>190</v>
      </c>
      <c r="E65" s="69" t="s">
        <v>48</v>
      </c>
      <c r="F65" s="69" t="s">
        <v>49</v>
      </c>
      <c r="G65" s="69" t="s">
        <v>50</v>
      </c>
      <c r="H65" s="69">
        <v>1</v>
      </c>
      <c r="I65" s="69">
        <v>149.99</v>
      </c>
      <c r="J65" s="69" t="s">
        <v>38</v>
      </c>
      <c r="K65" s="69" t="s">
        <v>44</v>
      </c>
      <c r="L65" s="69" t="s">
        <v>26</v>
      </c>
      <c r="M65" s="70">
        <v>44421</v>
      </c>
      <c r="N65" s="69">
        <v>149.99</v>
      </c>
      <c r="O65" s="47">
        <f t="shared" ca="1" si="0"/>
        <v>1738</v>
      </c>
      <c r="P65" s="47">
        <f t="shared" ca="1" si="1"/>
        <v>678</v>
      </c>
      <c r="Q65" s="71" t="str">
        <f t="shared" si="2"/>
        <v>2024-07</v>
      </c>
      <c r="R65" s="49">
        <f t="shared" si="3"/>
        <v>202407</v>
      </c>
    </row>
    <row r="66" spans="1:18" ht="15.75" customHeight="1">
      <c r="A66" s="69" t="s">
        <v>191</v>
      </c>
      <c r="B66" s="70">
        <v>45481</v>
      </c>
      <c r="C66" s="69" t="s">
        <v>46</v>
      </c>
      <c r="D66" s="69" t="s">
        <v>47</v>
      </c>
      <c r="E66" s="69" t="s">
        <v>84</v>
      </c>
      <c r="F66" s="69" t="s">
        <v>85</v>
      </c>
      <c r="G66" s="69" t="s">
        <v>23</v>
      </c>
      <c r="H66" s="69">
        <v>2</v>
      </c>
      <c r="I66" s="69">
        <v>699.99</v>
      </c>
      <c r="J66" s="69" t="s">
        <v>38</v>
      </c>
      <c r="K66" s="69" t="s">
        <v>67</v>
      </c>
      <c r="L66" s="69" t="s">
        <v>31</v>
      </c>
      <c r="M66" s="70">
        <v>45389</v>
      </c>
      <c r="N66" s="69">
        <v>1399.98</v>
      </c>
      <c r="O66" s="47">
        <f t="shared" ca="1" si="0"/>
        <v>770</v>
      </c>
      <c r="P66" s="47">
        <f t="shared" ca="1" si="1"/>
        <v>678</v>
      </c>
      <c r="Q66" s="71" t="str">
        <f t="shared" si="2"/>
        <v>2024-07</v>
      </c>
      <c r="R66" s="49">
        <f t="shared" si="3"/>
        <v>202407</v>
      </c>
    </row>
    <row r="67" spans="1:18" ht="15.75" customHeight="1">
      <c r="A67" s="69" t="s">
        <v>192</v>
      </c>
      <c r="B67" s="70">
        <v>45481</v>
      </c>
      <c r="C67" s="69" t="s">
        <v>100</v>
      </c>
      <c r="D67" s="69" t="s">
        <v>101</v>
      </c>
      <c r="E67" s="69" t="s">
        <v>121</v>
      </c>
      <c r="F67" s="69" t="s">
        <v>122</v>
      </c>
      <c r="G67" s="69" t="s">
        <v>23</v>
      </c>
      <c r="H67" s="69">
        <v>5</v>
      </c>
      <c r="I67" s="69">
        <v>89.99</v>
      </c>
      <c r="J67" s="69" t="s">
        <v>61</v>
      </c>
      <c r="K67" s="69" t="s">
        <v>44</v>
      </c>
      <c r="L67" s="69" t="s">
        <v>31</v>
      </c>
      <c r="M67" s="70">
        <v>45161</v>
      </c>
      <c r="N67" s="69">
        <v>449.95</v>
      </c>
      <c r="O67" s="47">
        <f t="shared" ref="O67:O130" ca="1" si="4">TODAY()-M67</f>
        <v>998</v>
      </c>
      <c r="P67" s="47">
        <f t="shared" ref="P67:P130" ca="1" si="5">TODAY()-B67</f>
        <v>678</v>
      </c>
      <c r="Q67" s="71" t="str">
        <f t="shared" ref="Q67:Q130" si="6">TEXT(B67,"yyyy-mm")</f>
        <v>2024-07</v>
      </c>
      <c r="R67" s="49">
        <f t="shared" ref="R67:R130" si="7">YEAR(B67)*100+MONTH(B67)</f>
        <v>202407</v>
      </c>
    </row>
    <row r="68" spans="1:18" ht="15.75" customHeight="1">
      <c r="A68" s="69" t="s">
        <v>193</v>
      </c>
      <c r="B68" s="70">
        <v>45482</v>
      </c>
      <c r="C68" s="69" t="s">
        <v>175</v>
      </c>
      <c r="D68" s="69" t="s">
        <v>176</v>
      </c>
      <c r="E68" s="69" t="s">
        <v>35</v>
      </c>
      <c r="F68" s="69" t="s">
        <v>36</v>
      </c>
      <c r="G68" s="69" t="s">
        <v>37</v>
      </c>
      <c r="H68" s="69">
        <v>4</v>
      </c>
      <c r="I68" s="69">
        <v>59.99</v>
      </c>
      <c r="J68" s="69" t="s">
        <v>24</v>
      </c>
      <c r="K68" s="69" t="s">
        <v>39</v>
      </c>
      <c r="L68" s="69" t="s">
        <v>40</v>
      </c>
      <c r="M68" s="70">
        <v>44509</v>
      </c>
      <c r="N68" s="69">
        <v>239.96</v>
      </c>
      <c r="O68" s="47">
        <f t="shared" ca="1" si="4"/>
        <v>1650</v>
      </c>
      <c r="P68" s="47">
        <f t="shared" ca="1" si="5"/>
        <v>677</v>
      </c>
      <c r="Q68" s="71" t="str">
        <f t="shared" si="6"/>
        <v>2024-07</v>
      </c>
      <c r="R68" s="49">
        <f t="shared" si="7"/>
        <v>202407</v>
      </c>
    </row>
    <row r="69" spans="1:18" ht="15.75" customHeight="1">
      <c r="A69" s="69" t="s">
        <v>194</v>
      </c>
      <c r="B69" s="70">
        <v>45484</v>
      </c>
      <c r="C69" s="69" t="s">
        <v>28</v>
      </c>
      <c r="D69" s="69" t="s">
        <v>29</v>
      </c>
      <c r="E69" s="69" t="s">
        <v>56</v>
      </c>
      <c r="F69" s="69" t="s">
        <v>57</v>
      </c>
      <c r="G69" s="69" t="s">
        <v>23</v>
      </c>
      <c r="H69" s="69">
        <v>1</v>
      </c>
      <c r="I69" s="69">
        <v>149.99</v>
      </c>
      <c r="J69" s="69" t="s">
        <v>24</v>
      </c>
      <c r="K69" s="69" t="s">
        <v>25</v>
      </c>
      <c r="L69" s="69" t="s">
        <v>40</v>
      </c>
      <c r="M69" s="70">
        <v>44909</v>
      </c>
      <c r="N69" s="69">
        <v>149.99</v>
      </c>
      <c r="O69" s="47">
        <f t="shared" ca="1" si="4"/>
        <v>1250</v>
      </c>
      <c r="P69" s="47">
        <f t="shared" ca="1" si="5"/>
        <v>675</v>
      </c>
      <c r="Q69" s="71" t="str">
        <f t="shared" si="6"/>
        <v>2024-07</v>
      </c>
      <c r="R69" s="49">
        <f t="shared" si="7"/>
        <v>202407</v>
      </c>
    </row>
    <row r="70" spans="1:18" ht="15.75" customHeight="1">
      <c r="A70" s="69" t="s">
        <v>195</v>
      </c>
      <c r="B70" s="70">
        <v>45484</v>
      </c>
      <c r="C70" s="69" t="s">
        <v>196</v>
      </c>
      <c r="D70" s="69" t="s">
        <v>197</v>
      </c>
      <c r="E70" s="69" t="s">
        <v>109</v>
      </c>
      <c r="F70" s="69" t="s">
        <v>110</v>
      </c>
      <c r="G70" s="69" t="s">
        <v>50</v>
      </c>
      <c r="H70" s="69">
        <v>1</v>
      </c>
      <c r="I70" s="69">
        <v>299.99</v>
      </c>
      <c r="J70" s="69" t="s">
        <v>30</v>
      </c>
      <c r="K70" s="69" t="s">
        <v>44</v>
      </c>
      <c r="L70" s="69" t="s">
        <v>31</v>
      </c>
      <c r="M70" s="70">
        <v>44891</v>
      </c>
      <c r="N70" s="69">
        <v>299.99</v>
      </c>
      <c r="O70" s="47">
        <f t="shared" ca="1" si="4"/>
        <v>1268</v>
      </c>
      <c r="P70" s="47">
        <f t="shared" ca="1" si="5"/>
        <v>675</v>
      </c>
      <c r="Q70" s="71" t="str">
        <f t="shared" si="6"/>
        <v>2024-07</v>
      </c>
      <c r="R70" s="49">
        <f t="shared" si="7"/>
        <v>202407</v>
      </c>
    </row>
    <row r="71" spans="1:18" ht="15.75" customHeight="1">
      <c r="A71" s="69" t="s">
        <v>198</v>
      </c>
      <c r="B71" s="70">
        <v>45487</v>
      </c>
      <c r="C71" s="69" t="s">
        <v>196</v>
      </c>
      <c r="D71" s="69" t="s">
        <v>197</v>
      </c>
      <c r="E71" s="69" t="s">
        <v>130</v>
      </c>
      <c r="F71" s="69" t="s">
        <v>131</v>
      </c>
      <c r="G71" s="69" t="s">
        <v>50</v>
      </c>
      <c r="H71" s="69">
        <v>2</v>
      </c>
      <c r="I71" s="69">
        <v>199.99</v>
      </c>
      <c r="J71" s="69" t="s">
        <v>24</v>
      </c>
      <c r="K71" s="69" t="s">
        <v>44</v>
      </c>
      <c r="L71" s="69" t="s">
        <v>26</v>
      </c>
      <c r="M71" s="70">
        <v>44541</v>
      </c>
      <c r="N71" s="69">
        <v>399.98</v>
      </c>
      <c r="O71" s="47">
        <f t="shared" ca="1" si="4"/>
        <v>1618</v>
      </c>
      <c r="P71" s="47">
        <f t="shared" ca="1" si="5"/>
        <v>672</v>
      </c>
      <c r="Q71" s="71" t="str">
        <f t="shared" si="6"/>
        <v>2024-07</v>
      </c>
      <c r="R71" s="49">
        <f t="shared" si="7"/>
        <v>202407</v>
      </c>
    </row>
    <row r="72" spans="1:18" ht="15.75" customHeight="1">
      <c r="A72" s="69" t="s">
        <v>199</v>
      </c>
      <c r="B72" s="70">
        <v>45490</v>
      </c>
      <c r="C72" s="69" t="s">
        <v>200</v>
      </c>
      <c r="D72" s="69" t="s">
        <v>201</v>
      </c>
      <c r="E72" s="69" t="s">
        <v>35</v>
      </c>
      <c r="F72" s="69" t="s">
        <v>36</v>
      </c>
      <c r="G72" s="69" t="s">
        <v>37</v>
      </c>
      <c r="H72" s="69">
        <v>3</v>
      </c>
      <c r="I72" s="69">
        <v>59.99</v>
      </c>
      <c r="J72" s="69" t="s">
        <v>30</v>
      </c>
      <c r="K72" s="69" t="s">
        <v>54</v>
      </c>
      <c r="L72" s="69" t="s">
        <v>26</v>
      </c>
      <c r="M72" s="70">
        <v>45130</v>
      </c>
      <c r="N72" s="69">
        <v>179.97</v>
      </c>
      <c r="O72" s="47">
        <f t="shared" ca="1" si="4"/>
        <v>1029</v>
      </c>
      <c r="P72" s="47">
        <f t="shared" ca="1" si="5"/>
        <v>669</v>
      </c>
      <c r="Q72" s="71" t="str">
        <f t="shared" si="6"/>
        <v>2024-07</v>
      </c>
      <c r="R72" s="49">
        <f t="shared" si="7"/>
        <v>202407</v>
      </c>
    </row>
    <row r="73" spans="1:18" ht="15.75" customHeight="1">
      <c r="A73" s="69" t="s">
        <v>202</v>
      </c>
      <c r="B73" s="70">
        <v>45490</v>
      </c>
      <c r="C73" s="69" t="s">
        <v>76</v>
      </c>
      <c r="D73" s="69" t="s">
        <v>77</v>
      </c>
      <c r="E73" s="69" t="s">
        <v>48</v>
      </c>
      <c r="F73" s="69" t="s">
        <v>49</v>
      </c>
      <c r="G73" s="69" t="s">
        <v>50</v>
      </c>
      <c r="H73" s="69">
        <v>3</v>
      </c>
      <c r="I73" s="69">
        <v>149.99</v>
      </c>
      <c r="J73" s="69" t="s">
        <v>24</v>
      </c>
      <c r="K73" s="69" t="s">
        <v>25</v>
      </c>
      <c r="L73" s="69" t="s">
        <v>31</v>
      </c>
      <c r="M73" s="70">
        <v>45199</v>
      </c>
      <c r="N73" s="69">
        <v>449.97</v>
      </c>
      <c r="O73" s="47">
        <f t="shared" ca="1" si="4"/>
        <v>960</v>
      </c>
      <c r="P73" s="47">
        <f t="shared" ca="1" si="5"/>
        <v>669</v>
      </c>
      <c r="Q73" s="71" t="str">
        <f t="shared" si="6"/>
        <v>2024-07</v>
      </c>
      <c r="R73" s="49">
        <f t="shared" si="7"/>
        <v>202407</v>
      </c>
    </row>
    <row r="74" spans="1:18" ht="15.75" customHeight="1">
      <c r="A74" s="69" t="s">
        <v>203</v>
      </c>
      <c r="B74" s="70">
        <v>45491</v>
      </c>
      <c r="C74" s="69" t="s">
        <v>69</v>
      </c>
      <c r="D74" s="69" t="s">
        <v>70</v>
      </c>
      <c r="E74" s="69" t="s">
        <v>130</v>
      </c>
      <c r="F74" s="69" t="s">
        <v>131</v>
      </c>
      <c r="G74" s="69" t="s">
        <v>50</v>
      </c>
      <c r="H74" s="69">
        <v>3</v>
      </c>
      <c r="I74" s="69">
        <v>199.99</v>
      </c>
      <c r="J74" s="69" t="s">
        <v>24</v>
      </c>
      <c r="K74" s="69" t="s">
        <v>44</v>
      </c>
      <c r="L74" s="69" t="s">
        <v>31</v>
      </c>
      <c r="M74" s="70">
        <v>45254</v>
      </c>
      <c r="N74" s="69">
        <v>599.97</v>
      </c>
      <c r="O74" s="47">
        <f t="shared" ca="1" si="4"/>
        <v>905</v>
      </c>
      <c r="P74" s="47">
        <f t="shared" ca="1" si="5"/>
        <v>668</v>
      </c>
      <c r="Q74" s="71" t="str">
        <f t="shared" si="6"/>
        <v>2024-07</v>
      </c>
      <c r="R74" s="49">
        <f t="shared" si="7"/>
        <v>202407</v>
      </c>
    </row>
    <row r="75" spans="1:18" ht="15.75" customHeight="1">
      <c r="A75" s="69" t="s">
        <v>204</v>
      </c>
      <c r="B75" s="70">
        <v>45496</v>
      </c>
      <c r="C75" s="69" t="s">
        <v>154</v>
      </c>
      <c r="D75" s="69" t="s">
        <v>155</v>
      </c>
      <c r="E75" s="69" t="s">
        <v>65</v>
      </c>
      <c r="F75" s="69" t="s">
        <v>66</v>
      </c>
      <c r="G75" s="69" t="s">
        <v>23</v>
      </c>
      <c r="H75" s="69">
        <v>1</v>
      </c>
      <c r="I75" s="69">
        <v>899.99</v>
      </c>
      <c r="J75" s="69" t="s">
        <v>24</v>
      </c>
      <c r="K75" s="69" t="s">
        <v>25</v>
      </c>
      <c r="L75" s="69" t="s">
        <v>40</v>
      </c>
      <c r="M75" s="70">
        <v>45179</v>
      </c>
      <c r="N75" s="69">
        <v>899.99</v>
      </c>
      <c r="O75" s="47">
        <f t="shared" ca="1" si="4"/>
        <v>980</v>
      </c>
      <c r="P75" s="47">
        <f t="shared" ca="1" si="5"/>
        <v>663</v>
      </c>
      <c r="Q75" s="71" t="str">
        <f t="shared" si="6"/>
        <v>2024-07</v>
      </c>
      <c r="R75" s="49">
        <f t="shared" si="7"/>
        <v>202407</v>
      </c>
    </row>
    <row r="76" spans="1:18" ht="15.75" customHeight="1">
      <c r="A76" s="69" t="s">
        <v>205</v>
      </c>
      <c r="B76" s="70">
        <v>45497</v>
      </c>
      <c r="C76" s="69" t="s">
        <v>28</v>
      </c>
      <c r="D76" s="69" t="s">
        <v>29</v>
      </c>
      <c r="E76" s="69" t="s">
        <v>65</v>
      </c>
      <c r="F76" s="69" t="s">
        <v>66</v>
      </c>
      <c r="G76" s="69" t="s">
        <v>23</v>
      </c>
      <c r="H76" s="69">
        <v>5</v>
      </c>
      <c r="I76" s="69">
        <v>899.99</v>
      </c>
      <c r="J76" s="69" t="s">
        <v>61</v>
      </c>
      <c r="K76" s="69" t="s">
        <v>39</v>
      </c>
      <c r="L76" s="69" t="s">
        <v>40</v>
      </c>
      <c r="M76" s="70">
        <v>44899</v>
      </c>
      <c r="N76" s="69">
        <v>4499.95</v>
      </c>
      <c r="O76" s="47">
        <f t="shared" ca="1" si="4"/>
        <v>1260</v>
      </c>
      <c r="P76" s="47">
        <f t="shared" ca="1" si="5"/>
        <v>662</v>
      </c>
      <c r="Q76" s="71" t="str">
        <f t="shared" si="6"/>
        <v>2024-07</v>
      </c>
      <c r="R76" s="49">
        <f t="shared" si="7"/>
        <v>202407</v>
      </c>
    </row>
    <row r="77" spans="1:18" ht="15.75" customHeight="1">
      <c r="A77" s="69" t="s">
        <v>206</v>
      </c>
      <c r="B77" s="70">
        <v>45498</v>
      </c>
      <c r="C77" s="69" t="s">
        <v>186</v>
      </c>
      <c r="D77" s="69" t="s">
        <v>187</v>
      </c>
      <c r="E77" s="69" t="s">
        <v>35</v>
      </c>
      <c r="F77" s="69" t="s">
        <v>36</v>
      </c>
      <c r="G77" s="69" t="s">
        <v>37</v>
      </c>
      <c r="H77" s="69">
        <v>2</v>
      </c>
      <c r="I77" s="69">
        <v>59.99</v>
      </c>
      <c r="J77" s="69" t="s">
        <v>24</v>
      </c>
      <c r="K77" s="69" t="s">
        <v>44</v>
      </c>
      <c r="L77" s="69" t="s">
        <v>40</v>
      </c>
      <c r="M77" s="70">
        <v>45152</v>
      </c>
      <c r="N77" s="69">
        <v>119.98</v>
      </c>
      <c r="O77" s="47">
        <f t="shared" ca="1" si="4"/>
        <v>1007</v>
      </c>
      <c r="P77" s="47">
        <f t="shared" ca="1" si="5"/>
        <v>661</v>
      </c>
      <c r="Q77" s="71" t="str">
        <f t="shared" si="6"/>
        <v>2024-07</v>
      </c>
      <c r="R77" s="49">
        <f t="shared" si="7"/>
        <v>202407</v>
      </c>
    </row>
    <row r="78" spans="1:18" ht="15.75" customHeight="1">
      <c r="A78" s="69" t="s">
        <v>207</v>
      </c>
      <c r="B78" s="70">
        <v>45498</v>
      </c>
      <c r="C78" s="69" t="s">
        <v>200</v>
      </c>
      <c r="D78" s="69" t="s">
        <v>201</v>
      </c>
      <c r="E78" s="69" t="s">
        <v>21</v>
      </c>
      <c r="F78" s="69" t="s">
        <v>22</v>
      </c>
      <c r="G78" s="69" t="s">
        <v>23</v>
      </c>
      <c r="H78" s="69">
        <v>4</v>
      </c>
      <c r="I78" s="69">
        <v>249.99</v>
      </c>
      <c r="J78" s="69" t="s">
        <v>61</v>
      </c>
      <c r="K78" s="69" t="s">
        <v>25</v>
      </c>
      <c r="L78" s="69" t="s">
        <v>40</v>
      </c>
      <c r="M78" s="70">
        <v>45127</v>
      </c>
      <c r="N78" s="69">
        <v>999.96</v>
      </c>
      <c r="O78" s="47">
        <f t="shared" ca="1" si="4"/>
        <v>1032</v>
      </c>
      <c r="P78" s="47">
        <f t="shared" ca="1" si="5"/>
        <v>661</v>
      </c>
      <c r="Q78" s="71" t="str">
        <f t="shared" si="6"/>
        <v>2024-07</v>
      </c>
      <c r="R78" s="49">
        <f t="shared" si="7"/>
        <v>202407</v>
      </c>
    </row>
    <row r="79" spans="1:18" ht="15.75" customHeight="1">
      <c r="A79" s="69" t="s">
        <v>208</v>
      </c>
      <c r="B79" s="70">
        <v>45500</v>
      </c>
      <c r="C79" s="69" t="s">
        <v>100</v>
      </c>
      <c r="D79" s="69" t="s">
        <v>101</v>
      </c>
      <c r="E79" s="69" t="s">
        <v>21</v>
      </c>
      <c r="F79" s="69" t="s">
        <v>22</v>
      </c>
      <c r="G79" s="69" t="s">
        <v>23</v>
      </c>
      <c r="H79" s="69">
        <v>2</v>
      </c>
      <c r="I79" s="69">
        <v>249.99</v>
      </c>
      <c r="J79" s="69" t="s">
        <v>24</v>
      </c>
      <c r="K79" s="69" t="s">
        <v>44</v>
      </c>
      <c r="L79" s="69" t="s">
        <v>31</v>
      </c>
      <c r="M79" s="70">
        <v>45164</v>
      </c>
      <c r="N79" s="69">
        <v>499.98</v>
      </c>
      <c r="O79" s="47">
        <f t="shared" ca="1" si="4"/>
        <v>995</v>
      </c>
      <c r="P79" s="47">
        <f t="shared" ca="1" si="5"/>
        <v>659</v>
      </c>
      <c r="Q79" s="71" t="str">
        <f t="shared" si="6"/>
        <v>2024-07</v>
      </c>
      <c r="R79" s="49">
        <f t="shared" si="7"/>
        <v>202407</v>
      </c>
    </row>
    <row r="80" spans="1:18" ht="15.75" customHeight="1">
      <c r="A80" s="69" t="s">
        <v>209</v>
      </c>
      <c r="B80" s="70">
        <v>45500</v>
      </c>
      <c r="C80" s="69" t="s">
        <v>151</v>
      </c>
      <c r="D80" s="69" t="s">
        <v>152</v>
      </c>
      <c r="E80" s="69" t="s">
        <v>109</v>
      </c>
      <c r="F80" s="69" t="s">
        <v>110</v>
      </c>
      <c r="G80" s="69" t="s">
        <v>50</v>
      </c>
      <c r="H80" s="69">
        <v>1</v>
      </c>
      <c r="I80" s="69">
        <v>299.99</v>
      </c>
      <c r="J80" s="69" t="s">
        <v>24</v>
      </c>
      <c r="K80" s="69" t="s">
        <v>39</v>
      </c>
      <c r="L80" s="69" t="s">
        <v>26</v>
      </c>
      <c r="M80" s="70">
        <v>44982</v>
      </c>
      <c r="N80" s="69">
        <v>299.99</v>
      </c>
      <c r="O80" s="47">
        <f t="shared" ca="1" si="4"/>
        <v>1177</v>
      </c>
      <c r="P80" s="47">
        <f t="shared" ca="1" si="5"/>
        <v>659</v>
      </c>
      <c r="Q80" s="71" t="str">
        <f t="shared" si="6"/>
        <v>2024-07</v>
      </c>
      <c r="R80" s="49">
        <f t="shared" si="7"/>
        <v>202407</v>
      </c>
    </row>
    <row r="81" spans="1:18" ht="15.75" customHeight="1">
      <c r="A81" s="69" t="s">
        <v>210</v>
      </c>
      <c r="B81" s="70">
        <v>45501</v>
      </c>
      <c r="C81" s="69" t="s">
        <v>90</v>
      </c>
      <c r="D81" s="69" t="s">
        <v>91</v>
      </c>
      <c r="E81" s="69" t="s">
        <v>121</v>
      </c>
      <c r="F81" s="69" t="s">
        <v>122</v>
      </c>
      <c r="G81" s="69" t="s">
        <v>23</v>
      </c>
      <c r="H81" s="69">
        <v>2</v>
      </c>
      <c r="I81" s="69">
        <v>89.99</v>
      </c>
      <c r="J81" s="69" t="s">
        <v>38</v>
      </c>
      <c r="K81" s="69" t="s">
        <v>39</v>
      </c>
      <c r="L81" s="69" t="s">
        <v>26</v>
      </c>
      <c r="M81" s="70">
        <v>44976</v>
      </c>
      <c r="N81" s="69">
        <v>179.98</v>
      </c>
      <c r="O81" s="47">
        <f t="shared" ca="1" si="4"/>
        <v>1183</v>
      </c>
      <c r="P81" s="47">
        <f t="shared" ca="1" si="5"/>
        <v>658</v>
      </c>
      <c r="Q81" s="71" t="str">
        <f t="shared" si="6"/>
        <v>2024-07</v>
      </c>
      <c r="R81" s="49">
        <f t="shared" si="7"/>
        <v>202407</v>
      </c>
    </row>
    <row r="82" spans="1:18" ht="15.75" customHeight="1">
      <c r="A82" s="69" t="s">
        <v>211</v>
      </c>
      <c r="B82" s="70">
        <v>45501</v>
      </c>
      <c r="C82" s="69" t="s">
        <v>151</v>
      </c>
      <c r="D82" s="69" t="s">
        <v>152</v>
      </c>
      <c r="E82" s="69" t="s">
        <v>109</v>
      </c>
      <c r="F82" s="69" t="s">
        <v>110</v>
      </c>
      <c r="G82" s="69" t="s">
        <v>50</v>
      </c>
      <c r="H82" s="69">
        <v>3</v>
      </c>
      <c r="I82" s="69">
        <v>299.99</v>
      </c>
      <c r="J82" s="69" t="s">
        <v>24</v>
      </c>
      <c r="K82" s="69" t="s">
        <v>25</v>
      </c>
      <c r="L82" s="69" t="s">
        <v>26</v>
      </c>
      <c r="M82" s="70">
        <v>44732</v>
      </c>
      <c r="N82" s="69">
        <v>899.97</v>
      </c>
      <c r="O82" s="47">
        <f t="shared" ca="1" si="4"/>
        <v>1427</v>
      </c>
      <c r="P82" s="47">
        <f t="shared" ca="1" si="5"/>
        <v>658</v>
      </c>
      <c r="Q82" s="71" t="str">
        <f t="shared" si="6"/>
        <v>2024-07</v>
      </c>
      <c r="R82" s="49">
        <f t="shared" si="7"/>
        <v>202407</v>
      </c>
    </row>
    <row r="83" spans="1:18" ht="15.75" customHeight="1">
      <c r="A83" s="69" t="s">
        <v>212</v>
      </c>
      <c r="B83" s="70">
        <v>45503</v>
      </c>
      <c r="C83" s="69" t="s">
        <v>90</v>
      </c>
      <c r="D83" s="69" t="s">
        <v>91</v>
      </c>
      <c r="E83" s="69" t="s">
        <v>84</v>
      </c>
      <c r="F83" s="69" t="s">
        <v>85</v>
      </c>
      <c r="G83" s="69" t="s">
        <v>23</v>
      </c>
      <c r="H83" s="69">
        <v>2</v>
      </c>
      <c r="I83" s="69">
        <v>699.99</v>
      </c>
      <c r="J83" s="69" t="s">
        <v>30</v>
      </c>
      <c r="K83" s="69" t="s">
        <v>44</v>
      </c>
      <c r="L83" s="69" t="s">
        <v>31</v>
      </c>
      <c r="M83" s="70">
        <v>44999</v>
      </c>
      <c r="N83" s="69">
        <v>1399.98</v>
      </c>
      <c r="O83" s="47">
        <f t="shared" ca="1" si="4"/>
        <v>1160</v>
      </c>
      <c r="P83" s="47">
        <f t="shared" ca="1" si="5"/>
        <v>656</v>
      </c>
      <c r="Q83" s="71" t="str">
        <f t="shared" si="6"/>
        <v>2024-07</v>
      </c>
      <c r="R83" s="49">
        <f t="shared" si="7"/>
        <v>202407</v>
      </c>
    </row>
    <row r="84" spans="1:18" ht="15.75" customHeight="1">
      <c r="A84" s="69" t="s">
        <v>213</v>
      </c>
      <c r="B84" s="70">
        <v>45504</v>
      </c>
      <c r="C84" s="69" t="s">
        <v>124</v>
      </c>
      <c r="D84" s="69" t="s">
        <v>125</v>
      </c>
      <c r="E84" s="69" t="s">
        <v>65</v>
      </c>
      <c r="F84" s="69" t="s">
        <v>66</v>
      </c>
      <c r="G84" s="69" t="s">
        <v>23</v>
      </c>
      <c r="H84" s="69">
        <v>4</v>
      </c>
      <c r="I84" s="69">
        <v>899.99</v>
      </c>
      <c r="J84" s="69" t="s">
        <v>61</v>
      </c>
      <c r="K84" s="69" t="s">
        <v>39</v>
      </c>
      <c r="L84" s="69" t="s">
        <v>40</v>
      </c>
      <c r="M84" s="70">
        <v>44523</v>
      </c>
      <c r="N84" s="69">
        <v>3599.96</v>
      </c>
      <c r="O84" s="47">
        <f t="shared" ca="1" si="4"/>
        <v>1636</v>
      </c>
      <c r="P84" s="47">
        <f t="shared" ca="1" si="5"/>
        <v>655</v>
      </c>
      <c r="Q84" s="71" t="str">
        <f t="shared" si="6"/>
        <v>2024-07</v>
      </c>
      <c r="R84" s="49">
        <f t="shared" si="7"/>
        <v>202407</v>
      </c>
    </row>
    <row r="85" spans="1:18" ht="15.75" customHeight="1">
      <c r="A85" s="69" t="s">
        <v>214</v>
      </c>
      <c r="B85" s="70">
        <v>45509</v>
      </c>
      <c r="C85" s="69" t="s">
        <v>215</v>
      </c>
      <c r="D85" s="69" t="s">
        <v>216</v>
      </c>
      <c r="E85" s="69" t="s">
        <v>48</v>
      </c>
      <c r="F85" s="69" t="s">
        <v>49</v>
      </c>
      <c r="G85" s="69" t="s">
        <v>50</v>
      </c>
      <c r="H85" s="69">
        <v>2</v>
      </c>
      <c r="I85" s="69">
        <v>149.99</v>
      </c>
      <c r="J85" s="69" t="s">
        <v>30</v>
      </c>
      <c r="K85" s="69" t="s">
        <v>54</v>
      </c>
      <c r="L85" s="69" t="s">
        <v>26</v>
      </c>
      <c r="M85" s="70">
        <v>44542</v>
      </c>
      <c r="N85" s="69">
        <v>299.98</v>
      </c>
      <c r="O85" s="47">
        <f t="shared" ca="1" si="4"/>
        <v>1617</v>
      </c>
      <c r="P85" s="47">
        <f t="shared" ca="1" si="5"/>
        <v>650</v>
      </c>
      <c r="Q85" s="71" t="str">
        <f t="shared" si="6"/>
        <v>2024-08</v>
      </c>
      <c r="R85" s="49">
        <f t="shared" si="7"/>
        <v>202408</v>
      </c>
    </row>
    <row r="86" spans="1:18" ht="15.75" customHeight="1">
      <c r="A86" s="69" t="s">
        <v>217</v>
      </c>
      <c r="B86" s="70">
        <v>45510</v>
      </c>
      <c r="C86" s="69" t="s">
        <v>106</v>
      </c>
      <c r="D86" s="69" t="s">
        <v>107</v>
      </c>
      <c r="E86" s="69" t="s">
        <v>48</v>
      </c>
      <c r="F86" s="69" t="s">
        <v>49</v>
      </c>
      <c r="G86" s="69" t="s">
        <v>50</v>
      </c>
      <c r="H86" s="69">
        <v>2</v>
      </c>
      <c r="I86" s="69">
        <v>149.99</v>
      </c>
      <c r="J86" s="69" t="s">
        <v>61</v>
      </c>
      <c r="K86" s="69" t="s">
        <v>67</v>
      </c>
      <c r="L86" s="69" t="s">
        <v>40</v>
      </c>
      <c r="M86" s="70">
        <v>44667</v>
      </c>
      <c r="N86" s="69">
        <v>299.98</v>
      </c>
      <c r="O86" s="47">
        <f t="shared" ca="1" si="4"/>
        <v>1492</v>
      </c>
      <c r="P86" s="47">
        <f t="shared" ca="1" si="5"/>
        <v>649</v>
      </c>
      <c r="Q86" s="71" t="str">
        <f t="shared" si="6"/>
        <v>2024-08</v>
      </c>
      <c r="R86" s="49">
        <f t="shared" si="7"/>
        <v>202408</v>
      </c>
    </row>
    <row r="87" spans="1:18" ht="15.75" customHeight="1">
      <c r="A87" s="69" t="s">
        <v>218</v>
      </c>
      <c r="B87" s="70">
        <v>45513</v>
      </c>
      <c r="C87" s="69" t="s">
        <v>93</v>
      </c>
      <c r="D87" s="69" t="s">
        <v>94</v>
      </c>
      <c r="E87" s="69" t="s">
        <v>121</v>
      </c>
      <c r="F87" s="69" t="s">
        <v>122</v>
      </c>
      <c r="G87" s="69" t="s">
        <v>23</v>
      </c>
      <c r="H87" s="69">
        <v>1</v>
      </c>
      <c r="I87" s="69">
        <v>89.99</v>
      </c>
      <c r="J87" s="69" t="s">
        <v>30</v>
      </c>
      <c r="K87" s="69" t="s">
        <v>44</v>
      </c>
      <c r="L87" s="69" t="s">
        <v>40</v>
      </c>
      <c r="M87" s="70">
        <v>45393</v>
      </c>
      <c r="N87" s="69">
        <v>89.99</v>
      </c>
      <c r="O87" s="47">
        <f t="shared" ca="1" si="4"/>
        <v>766</v>
      </c>
      <c r="P87" s="47">
        <f t="shared" ca="1" si="5"/>
        <v>646</v>
      </c>
      <c r="Q87" s="71" t="str">
        <f t="shared" si="6"/>
        <v>2024-08</v>
      </c>
      <c r="R87" s="49">
        <f t="shared" si="7"/>
        <v>202408</v>
      </c>
    </row>
    <row r="88" spans="1:18" ht="15.75" customHeight="1">
      <c r="A88" s="69" t="s">
        <v>219</v>
      </c>
      <c r="B88" s="70">
        <v>45515</v>
      </c>
      <c r="C88" s="69" t="s">
        <v>90</v>
      </c>
      <c r="D88" s="69" t="s">
        <v>91</v>
      </c>
      <c r="E88" s="69" t="s">
        <v>109</v>
      </c>
      <c r="F88" s="69" t="s">
        <v>110</v>
      </c>
      <c r="G88" s="69" t="s">
        <v>50</v>
      </c>
      <c r="H88" s="69">
        <v>5</v>
      </c>
      <c r="I88" s="69">
        <v>299.99</v>
      </c>
      <c r="J88" s="69" t="s">
        <v>30</v>
      </c>
      <c r="K88" s="69" t="s">
        <v>44</v>
      </c>
      <c r="L88" s="69" t="s">
        <v>26</v>
      </c>
      <c r="M88" s="70">
        <v>44965</v>
      </c>
      <c r="N88" s="69">
        <v>1499.95</v>
      </c>
      <c r="O88" s="47">
        <f t="shared" ca="1" si="4"/>
        <v>1194</v>
      </c>
      <c r="P88" s="47">
        <f t="shared" ca="1" si="5"/>
        <v>644</v>
      </c>
      <c r="Q88" s="71" t="str">
        <f t="shared" si="6"/>
        <v>2024-08</v>
      </c>
      <c r="R88" s="49">
        <f t="shared" si="7"/>
        <v>202408</v>
      </c>
    </row>
    <row r="89" spans="1:18" ht="15.75" customHeight="1">
      <c r="A89" s="69" t="s">
        <v>220</v>
      </c>
      <c r="B89" s="70">
        <v>45517</v>
      </c>
      <c r="C89" s="69" t="s">
        <v>186</v>
      </c>
      <c r="D89" s="69" t="s">
        <v>187</v>
      </c>
      <c r="E89" s="69" t="s">
        <v>56</v>
      </c>
      <c r="F89" s="69" t="s">
        <v>57</v>
      </c>
      <c r="G89" s="69" t="s">
        <v>23</v>
      </c>
      <c r="H89" s="69">
        <v>4</v>
      </c>
      <c r="I89" s="69">
        <v>149.99</v>
      </c>
      <c r="J89" s="69" t="s">
        <v>61</v>
      </c>
      <c r="K89" s="69" t="s">
        <v>39</v>
      </c>
      <c r="L89" s="69" t="s">
        <v>31</v>
      </c>
      <c r="M89" s="70">
        <v>44820</v>
      </c>
      <c r="N89" s="69">
        <v>599.96</v>
      </c>
      <c r="O89" s="47">
        <f t="shared" ca="1" si="4"/>
        <v>1339</v>
      </c>
      <c r="P89" s="47">
        <f t="shared" ca="1" si="5"/>
        <v>642</v>
      </c>
      <c r="Q89" s="71" t="str">
        <f t="shared" si="6"/>
        <v>2024-08</v>
      </c>
      <c r="R89" s="49">
        <f t="shared" si="7"/>
        <v>202408</v>
      </c>
    </row>
    <row r="90" spans="1:18" ht="15.75" customHeight="1">
      <c r="A90" s="69" t="s">
        <v>221</v>
      </c>
      <c r="B90" s="70">
        <v>45517</v>
      </c>
      <c r="C90" s="69" t="s">
        <v>189</v>
      </c>
      <c r="D90" s="69" t="s">
        <v>190</v>
      </c>
      <c r="E90" s="69" t="s">
        <v>21</v>
      </c>
      <c r="F90" s="69" t="s">
        <v>22</v>
      </c>
      <c r="G90" s="69" t="s">
        <v>23</v>
      </c>
      <c r="H90" s="69">
        <v>5</v>
      </c>
      <c r="I90" s="69">
        <v>249.99</v>
      </c>
      <c r="J90" s="69" t="s">
        <v>38</v>
      </c>
      <c r="K90" s="69" t="s">
        <v>67</v>
      </c>
      <c r="L90" s="69" t="s">
        <v>31</v>
      </c>
      <c r="M90" s="70">
        <v>44782</v>
      </c>
      <c r="N90" s="69">
        <v>1249.95</v>
      </c>
      <c r="O90" s="47">
        <f t="shared" ca="1" si="4"/>
        <v>1377</v>
      </c>
      <c r="P90" s="47">
        <f t="shared" ca="1" si="5"/>
        <v>642</v>
      </c>
      <c r="Q90" s="71" t="str">
        <f t="shared" si="6"/>
        <v>2024-08</v>
      </c>
      <c r="R90" s="49">
        <f t="shared" si="7"/>
        <v>202408</v>
      </c>
    </row>
    <row r="91" spans="1:18" ht="15.75" customHeight="1">
      <c r="A91" s="69" t="s">
        <v>222</v>
      </c>
      <c r="B91" s="70">
        <v>45517</v>
      </c>
      <c r="C91" s="69" t="s">
        <v>69</v>
      </c>
      <c r="D91" s="69" t="s">
        <v>70</v>
      </c>
      <c r="E91" s="69" t="s">
        <v>21</v>
      </c>
      <c r="F91" s="69" t="s">
        <v>22</v>
      </c>
      <c r="G91" s="69" t="s">
        <v>23</v>
      </c>
      <c r="H91" s="69">
        <v>3</v>
      </c>
      <c r="I91" s="69">
        <v>249.99</v>
      </c>
      <c r="J91" s="69" t="s">
        <v>38</v>
      </c>
      <c r="K91" s="69" t="s">
        <v>44</v>
      </c>
      <c r="L91" s="69" t="s">
        <v>31</v>
      </c>
      <c r="M91" s="70">
        <v>44465</v>
      </c>
      <c r="N91" s="69">
        <v>749.97</v>
      </c>
      <c r="O91" s="47">
        <f t="shared" ca="1" si="4"/>
        <v>1694</v>
      </c>
      <c r="P91" s="47">
        <f t="shared" ca="1" si="5"/>
        <v>642</v>
      </c>
      <c r="Q91" s="71" t="str">
        <f t="shared" si="6"/>
        <v>2024-08</v>
      </c>
      <c r="R91" s="49">
        <f t="shared" si="7"/>
        <v>202408</v>
      </c>
    </row>
    <row r="92" spans="1:18" ht="15.75" customHeight="1">
      <c r="A92" s="69" t="s">
        <v>223</v>
      </c>
      <c r="B92" s="70">
        <v>45517</v>
      </c>
      <c r="C92" s="69" t="s">
        <v>42</v>
      </c>
      <c r="D92" s="69" t="s">
        <v>43</v>
      </c>
      <c r="E92" s="69" t="s">
        <v>130</v>
      </c>
      <c r="F92" s="69" t="s">
        <v>131</v>
      </c>
      <c r="G92" s="69" t="s">
        <v>50</v>
      </c>
      <c r="H92" s="69">
        <v>4</v>
      </c>
      <c r="I92" s="69">
        <v>199.99</v>
      </c>
      <c r="J92" s="69" t="s">
        <v>24</v>
      </c>
      <c r="K92" s="69" t="s">
        <v>44</v>
      </c>
      <c r="L92" s="69" t="s">
        <v>40</v>
      </c>
      <c r="M92" s="70">
        <v>44458</v>
      </c>
      <c r="N92" s="69">
        <v>799.96</v>
      </c>
      <c r="O92" s="47">
        <f t="shared" ca="1" si="4"/>
        <v>1701</v>
      </c>
      <c r="P92" s="47">
        <f t="shared" ca="1" si="5"/>
        <v>642</v>
      </c>
      <c r="Q92" s="71" t="str">
        <f t="shared" si="6"/>
        <v>2024-08</v>
      </c>
      <c r="R92" s="49">
        <f t="shared" si="7"/>
        <v>202408</v>
      </c>
    </row>
    <row r="93" spans="1:18" ht="15.75" customHeight="1">
      <c r="A93" s="69" t="s">
        <v>224</v>
      </c>
      <c r="B93" s="70">
        <v>45519</v>
      </c>
      <c r="C93" s="69" t="s">
        <v>162</v>
      </c>
      <c r="D93" s="69" t="s">
        <v>163</v>
      </c>
      <c r="E93" s="69" t="s">
        <v>130</v>
      </c>
      <c r="F93" s="69" t="s">
        <v>131</v>
      </c>
      <c r="G93" s="69" t="s">
        <v>50</v>
      </c>
      <c r="H93" s="69">
        <v>5</v>
      </c>
      <c r="I93" s="69">
        <v>199.99</v>
      </c>
      <c r="J93" s="69" t="s">
        <v>24</v>
      </c>
      <c r="K93" s="69" t="s">
        <v>44</v>
      </c>
      <c r="L93" s="69" t="s">
        <v>31</v>
      </c>
      <c r="M93" s="70">
        <v>44991</v>
      </c>
      <c r="N93" s="69">
        <v>999.95</v>
      </c>
      <c r="O93" s="47">
        <f t="shared" ca="1" si="4"/>
        <v>1168</v>
      </c>
      <c r="P93" s="47">
        <f t="shared" ca="1" si="5"/>
        <v>640</v>
      </c>
      <c r="Q93" s="71" t="str">
        <f t="shared" si="6"/>
        <v>2024-08</v>
      </c>
      <c r="R93" s="49">
        <f t="shared" si="7"/>
        <v>202408</v>
      </c>
    </row>
    <row r="94" spans="1:18" ht="15.75" customHeight="1">
      <c r="A94" s="69" t="s">
        <v>225</v>
      </c>
      <c r="B94" s="70">
        <v>45522</v>
      </c>
      <c r="C94" s="69" t="s">
        <v>90</v>
      </c>
      <c r="D94" s="69" t="s">
        <v>91</v>
      </c>
      <c r="E94" s="69" t="s">
        <v>121</v>
      </c>
      <c r="F94" s="69" t="s">
        <v>122</v>
      </c>
      <c r="G94" s="69" t="s">
        <v>23</v>
      </c>
      <c r="H94" s="69">
        <v>2</v>
      </c>
      <c r="I94" s="69">
        <v>89.99</v>
      </c>
      <c r="J94" s="69" t="s">
        <v>24</v>
      </c>
      <c r="K94" s="69" t="s">
        <v>67</v>
      </c>
      <c r="L94" s="69" t="s">
        <v>31</v>
      </c>
      <c r="M94" s="70">
        <v>44972</v>
      </c>
      <c r="N94" s="69">
        <v>179.98</v>
      </c>
      <c r="O94" s="47">
        <f t="shared" ca="1" si="4"/>
        <v>1187</v>
      </c>
      <c r="P94" s="47">
        <f t="shared" ca="1" si="5"/>
        <v>637</v>
      </c>
      <c r="Q94" s="71" t="str">
        <f t="shared" si="6"/>
        <v>2024-08</v>
      </c>
      <c r="R94" s="49">
        <f t="shared" si="7"/>
        <v>202408</v>
      </c>
    </row>
    <row r="95" spans="1:18" ht="15.75" customHeight="1">
      <c r="A95" s="69" t="s">
        <v>226</v>
      </c>
      <c r="B95" s="70">
        <v>45523</v>
      </c>
      <c r="C95" s="69" t="s">
        <v>200</v>
      </c>
      <c r="D95" s="69" t="s">
        <v>201</v>
      </c>
      <c r="E95" s="69" t="s">
        <v>65</v>
      </c>
      <c r="F95" s="69" t="s">
        <v>66</v>
      </c>
      <c r="G95" s="69" t="s">
        <v>23</v>
      </c>
      <c r="H95" s="69">
        <v>5</v>
      </c>
      <c r="I95" s="69">
        <v>899.99</v>
      </c>
      <c r="J95" s="69" t="s">
        <v>61</v>
      </c>
      <c r="K95" s="69" t="s">
        <v>67</v>
      </c>
      <c r="L95" s="69" t="s">
        <v>26</v>
      </c>
      <c r="M95" s="70">
        <v>44526</v>
      </c>
      <c r="N95" s="69">
        <v>4499.95</v>
      </c>
      <c r="O95" s="47">
        <f t="shared" ca="1" si="4"/>
        <v>1633</v>
      </c>
      <c r="P95" s="47">
        <f t="shared" ca="1" si="5"/>
        <v>636</v>
      </c>
      <c r="Q95" s="71" t="str">
        <f t="shared" si="6"/>
        <v>2024-08</v>
      </c>
      <c r="R95" s="49">
        <f t="shared" si="7"/>
        <v>202408</v>
      </c>
    </row>
    <row r="96" spans="1:18" ht="15.75" customHeight="1">
      <c r="A96" s="69" t="s">
        <v>227</v>
      </c>
      <c r="B96" s="70">
        <v>45523</v>
      </c>
      <c r="C96" s="69" t="s">
        <v>112</v>
      </c>
      <c r="D96" s="69" t="s">
        <v>113</v>
      </c>
      <c r="E96" s="69" t="s">
        <v>56</v>
      </c>
      <c r="F96" s="69" t="s">
        <v>57</v>
      </c>
      <c r="G96" s="69" t="s">
        <v>23</v>
      </c>
      <c r="H96" s="69">
        <v>3</v>
      </c>
      <c r="I96" s="69">
        <v>149.99</v>
      </c>
      <c r="J96" s="69" t="s">
        <v>38</v>
      </c>
      <c r="K96" s="69" t="s">
        <v>67</v>
      </c>
      <c r="L96" s="69" t="s">
        <v>26</v>
      </c>
      <c r="M96" s="70">
        <v>44574</v>
      </c>
      <c r="N96" s="69">
        <v>449.97</v>
      </c>
      <c r="O96" s="47">
        <f t="shared" ca="1" si="4"/>
        <v>1585</v>
      </c>
      <c r="P96" s="47">
        <f t="shared" ca="1" si="5"/>
        <v>636</v>
      </c>
      <c r="Q96" s="71" t="str">
        <f t="shared" si="6"/>
        <v>2024-08</v>
      </c>
      <c r="R96" s="49">
        <f t="shared" si="7"/>
        <v>202408</v>
      </c>
    </row>
    <row r="97" spans="1:18" ht="15.75" customHeight="1">
      <c r="A97" s="69" t="s">
        <v>228</v>
      </c>
      <c r="B97" s="70">
        <v>45526</v>
      </c>
      <c r="C97" s="69" t="s">
        <v>106</v>
      </c>
      <c r="D97" s="69" t="s">
        <v>107</v>
      </c>
      <c r="E97" s="69" t="s">
        <v>48</v>
      </c>
      <c r="F97" s="69" t="s">
        <v>49</v>
      </c>
      <c r="G97" s="69" t="s">
        <v>50</v>
      </c>
      <c r="H97" s="69">
        <v>5</v>
      </c>
      <c r="I97" s="69">
        <v>149.99</v>
      </c>
      <c r="J97" s="69" t="s">
        <v>30</v>
      </c>
      <c r="K97" s="69" t="s">
        <v>25</v>
      </c>
      <c r="L97" s="69" t="s">
        <v>26</v>
      </c>
      <c r="M97" s="70">
        <v>45310</v>
      </c>
      <c r="N97" s="69">
        <v>749.95</v>
      </c>
      <c r="O97" s="47">
        <f t="shared" ca="1" si="4"/>
        <v>849</v>
      </c>
      <c r="P97" s="47">
        <f t="shared" ca="1" si="5"/>
        <v>633</v>
      </c>
      <c r="Q97" s="71" t="str">
        <f t="shared" si="6"/>
        <v>2024-08</v>
      </c>
      <c r="R97" s="49">
        <f t="shared" si="7"/>
        <v>202408</v>
      </c>
    </row>
    <row r="98" spans="1:18" ht="15.75" customHeight="1">
      <c r="A98" s="69" t="s">
        <v>229</v>
      </c>
      <c r="B98" s="70">
        <v>45528</v>
      </c>
      <c r="C98" s="69" t="s">
        <v>230</v>
      </c>
      <c r="D98" s="69" t="s">
        <v>231</v>
      </c>
      <c r="E98" s="69" t="s">
        <v>118</v>
      </c>
      <c r="F98" s="69" t="s">
        <v>119</v>
      </c>
      <c r="G98" s="69" t="s">
        <v>37</v>
      </c>
      <c r="H98" s="69">
        <v>3</v>
      </c>
      <c r="I98" s="69">
        <v>79.989999999999995</v>
      </c>
      <c r="J98" s="69" t="s">
        <v>24</v>
      </c>
      <c r="K98" s="69" t="s">
        <v>25</v>
      </c>
      <c r="L98" s="69" t="s">
        <v>31</v>
      </c>
      <c r="M98" s="70">
        <v>44779</v>
      </c>
      <c r="N98" s="69">
        <v>239.97</v>
      </c>
      <c r="O98" s="47">
        <f t="shared" ca="1" si="4"/>
        <v>1380</v>
      </c>
      <c r="P98" s="47">
        <f t="shared" ca="1" si="5"/>
        <v>631</v>
      </c>
      <c r="Q98" s="71" t="str">
        <f t="shared" si="6"/>
        <v>2024-08</v>
      </c>
      <c r="R98" s="49">
        <f t="shared" si="7"/>
        <v>202408</v>
      </c>
    </row>
    <row r="99" spans="1:18" ht="15.75" customHeight="1">
      <c r="A99" s="69" t="s">
        <v>232</v>
      </c>
      <c r="B99" s="70">
        <v>45528</v>
      </c>
      <c r="C99" s="69" t="s">
        <v>148</v>
      </c>
      <c r="D99" s="69" t="s">
        <v>149</v>
      </c>
      <c r="E99" s="69" t="s">
        <v>21</v>
      </c>
      <c r="F99" s="69" t="s">
        <v>22</v>
      </c>
      <c r="G99" s="69" t="s">
        <v>23</v>
      </c>
      <c r="H99" s="69">
        <v>2</v>
      </c>
      <c r="I99" s="69">
        <v>249.99</v>
      </c>
      <c r="J99" s="69" t="s">
        <v>24</v>
      </c>
      <c r="K99" s="69" t="s">
        <v>39</v>
      </c>
      <c r="L99" s="69" t="s">
        <v>40</v>
      </c>
      <c r="M99" s="70">
        <v>44572</v>
      </c>
      <c r="N99" s="69">
        <v>499.98</v>
      </c>
      <c r="O99" s="47">
        <f t="shared" ca="1" si="4"/>
        <v>1587</v>
      </c>
      <c r="P99" s="47">
        <f t="shared" ca="1" si="5"/>
        <v>631</v>
      </c>
      <c r="Q99" s="71" t="str">
        <f t="shared" si="6"/>
        <v>2024-08</v>
      </c>
      <c r="R99" s="49">
        <f t="shared" si="7"/>
        <v>202408</v>
      </c>
    </row>
    <row r="100" spans="1:18" ht="15.75" customHeight="1">
      <c r="A100" s="69" t="s">
        <v>233</v>
      </c>
      <c r="B100" s="70">
        <v>45532</v>
      </c>
      <c r="C100" s="69" t="s">
        <v>200</v>
      </c>
      <c r="D100" s="69" t="s">
        <v>201</v>
      </c>
      <c r="E100" s="69" t="s">
        <v>84</v>
      </c>
      <c r="F100" s="69" t="s">
        <v>85</v>
      </c>
      <c r="G100" s="69" t="s">
        <v>23</v>
      </c>
      <c r="H100" s="69">
        <v>1</v>
      </c>
      <c r="I100" s="69">
        <v>699.99</v>
      </c>
      <c r="J100" s="69" t="s">
        <v>24</v>
      </c>
      <c r="K100" s="69" t="s">
        <v>25</v>
      </c>
      <c r="L100" s="69" t="s">
        <v>31</v>
      </c>
      <c r="M100" s="70">
        <v>44497</v>
      </c>
      <c r="N100" s="69">
        <v>699.99</v>
      </c>
      <c r="O100" s="47">
        <f t="shared" ca="1" si="4"/>
        <v>1662</v>
      </c>
      <c r="P100" s="47">
        <f t="shared" ca="1" si="5"/>
        <v>627</v>
      </c>
      <c r="Q100" s="71" t="str">
        <f t="shared" si="6"/>
        <v>2024-08</v>
      </c>
      <c r="R100" s="49">
        <f t="shared" si="7"/>
        <v>202408</v>
      </c>
    </row>
    <row r="101" spans="1:18" ht="15.75" customHeight="1">
      <c r="A101" s="69" t="s">
        <v>234</v>
      </c>
      <c r="B101" s="70">
        <v>45532</v>
      </c>
      <c r="C101" s="69" t="s">
        <v>235</v>
      </c>
      <c r="D101" s="69" t="s">
        <v>236</v>
      </c>
      <c r="E101" s="69" t="s">
        <v>56</v>
      </c>
      <c r="F101" s="69" t="s">
        <v>57</v>
      </c>
      <c r="G101" s="69" t="s">
        <v>23</v>
      </c>
      <c r="H101" s="69">
        <v>3</v>
      </c>
      <c r="I101" s="69">
        <v>149.99</v>
      </c>
      <c r="J101" s="69" t="s">
        <v>24</v>
      </c>
      <c r="K101" s="69" t="s">
        <v>54</v>
      </c>
      <c r="L101" s="69" t="s">
        <v>31</v>
      </c>
      <c r="M101" s="70">
        <v>45212</v>
      </c>
      <c r="N101" s="69">
        <v>449.97</v>
      </c>
      <c r="O101" s="47">
        <f t="shared" ca="1" si="4"/>
        <v>947</v>
      </c>
      <c r="P101" s="47">
        <f t="shared" ca="1" si="5"/>
        <v>627</v>
      </c>
      <c r="Q101" s="71" t="str">
        <f t="shared" si="6"/>
        <v>2024-08</v>
      </c>
      <c r="R101" s="49">
        <f t="shared" si="7"/>
        <v>202408</v>
      </c>
    </row>
    <row r="102" spans="1:18" ht="15.75" customHeight="1">
      <c r="A102" s="69" t="s">
        <v>237</v>
      </c>
      <c r="B102" s="70">
        <v>45534</v>
      </c>
      <c r="C102" s="69" t="s">
        <v>238</v>
      </c>
      <c r="D102" s="69" t="s">
        <v>239</v>
      </c>
      <c r="E102" s="69" t="s">
        <v>84</v>
      </c>
      <c r="F102" s="69" t="s">
        <v>85</v>
      </c>
      <c r="G102" s="69" t="s">
        <v>23</v>
      </c>
      <c r="H102" s="69">
        <v>2</v>
      </c>
      <c r="I102" s="69">
        <v>699.99</v>
      </c>
      <c r="J102" s="69" t="s">
        <v>30</v>
      </c>
      <c r="K102" s="69" t="s">
        <v>44</v>
      </c>
      <c r="L102" s="69" t="s">
        <v>31</v>
      </c>
      <c r="M102" s="70">
        <v>44421</v>
      </c>
      <c r="N102" s="69">
        <v>1399.98</v>
      </c>
      <c r="O102" s="47">
        <f t="shared" ca="1" si="4"/>
        <v>1738</v>
      </c>
      <c r="P102" s="47">
        <f t="shared" ca="1" si="5"/>
        <v>625</v>
      </c>
      <c r="Q102" s="71" t="str">
        <f t="shared" si="6"/>
        <v>2024-08</v>
      </c>
      <c r="R102" s="49">
        <f t="shared" si="7"/>
        <v>202408</v>
      </c>
    </row>
    <row r="103" spans="1:18" ht="15.75" customHeight="1">
      <c r="A103" s="69" t="s">
        <v>240</v>
      </c>
      <c r="B103" s="70">
        <v>45537</v>
      </c>
      <c r="C103" s="69" t="s">
        <v>235</v>
      </c>
      <c r="D103" s="69" t="s">
        <v>236</v>
      </c>
      <c r="E103" s="69" t="s">
        <v>21</v>
      </c>
      <c r="F103" s="69" t="s">
        <v>22</v>
      </c>
      <c r="G103" s="69" t="s">
        <v>23</v>
      </c>
      <c r="H103" s="69">
        <v>1</v>
      </c>
      <c r="I103" s="69">
        <v>249.99</v>
      </c>
      <c r="J103" s="69" t="s">
        <v>30</v>
      </c>
      <c r="K103" s="69" t="s">
        <v>54</v>
      </c>
      <c r="L103" s="69" t="s">
        <v>31</v>
      </c>
      <c r="M103" s="70">
        <v>44685</v>
      </c>
      <c r="N103" s="69">
        <v>249.99</v>
      </c>
      <c r="O103" s="47">
        <f t="shared" ca="1" si="4"/>
        <v>1474</v>
      </c>
      <c r="P103" s="47">
        <f t="shared" ca="1" si="5"/>
        <v>622</v>
      </c>
      <c r="Q103" s="71" t="str">
        <f t="shared" si="6"/>
        <v>2024-09</v>
      </c>
      <c r="R103" s="49">
        <f t="shared" si="7"/>
        <v>202409</v>
      </c>
    </row>
    <row r="104" spans="1:18" ht="15.75" customHeight="1">
      <c r="A104" s="69" t="s">
        <v>241</v>
      </c>
      <c r="B104" s="70">
        <v>45537</v>
      </c>
      <c r="C104" s="69" t="s">
        <v>19</v>
      </c>
      <c r="D104" s="69" t="s">
        <v>20</v>
      </c>
      <c r="E104" s="69" t="s">
        <v>21</v>
      </c>
      <c r="F104" s="69" t="s">
        <v>22</v>
      </c>
      <c r="G104" s="69" t="s">
        <v>23</v>
      </c>
      <c r="H104" s="69">
        <v>1</v>
      </c>
      <c r="I104" s="69">
        <v>249.99</v>
      </c>
      <c r="J104" s="69" t="s">
        <v>61</v>
      </c>
      <c r="K104" s="69" t="s">
        <v>44</v>
      </c>
      <c r="L104" s="69" t="s">
        <v>31</v>
      </c>
      <c r="M104" s="70">
        <v>45332</v>
      </c>
      <c r="N104" s="69">
        <v>249.99</v>
      </c>
      <c r="O104" s="47">
        <f t="shared" ca="1" si="4"/>
        <v>827</v>
      </c>
      <c r="P104" s="47">
        <f t="shared" ca="1" si="5"/>
        <v>622</v>
      </c>
      <c r="Q104" s="71" t="str">
        <f t="shared" si="6"/>
        <v>2024-09</v>
      </c>
      <c r="R104" s="49">
        <f t="shared" si="7"/>
        <v>202409</v>
      </c>
    </row>
    <row r="105" spans="1:18" ht="15.75" customHeight="1">
      <c r="A105" s="69" t="s">
        <v>242</v>
      </c>
      <c r="B105" s="70">
        <v>45538</v>
      </c>
      <c r="C105" s="69" t="s">
        <v>230</v>
      </c>
      <c r="D105" s="69" t="s">
        <v>231</v>
      </c>
      <c r="E105" s="69" t="s">
        <v>84</v>
      </c>
      <c r="F105" s="69" t="s">
        <v>85</v>
      </c>
      <c r="G105" s="69" t="s">
        <v>23</v>
      </c>
      <c r="H105" s="69">
        <v>2</v>
      </c>
      <c r="I105" s="69">
        <v>699.99</v>
      </c>
      <c r="J105" s="69" t="s">
        <v>61</v>
      </c>
      <c r="K105" s="69" t="s">
        <v>25</v>
      </c>
      <c r="L105" s="69" t="s">
        <v>31</v>
      </c>
      <c r="M105" s="70">
        <v>44870</v>
      </c>
      <c r="N105" s="69">
        <v>1399.98</v>
      </c>
      <c r="O105" s="47">
        <f t="shared" ca="1" si="4"/>
        <v>1289</v>
      </c>
      <c r="P105" s="47">
        <f t="shared" ca="1" si="5"/>
        <v>621</v>
      </c>
      <c r="Q105" s="71" t="str">
        <f t="shared" si="6"/>
        <v>2024-09</v>
      </c>
      <c r="R105" s="49">
        <f t="shared" si="7"/>
        <v>202409</v>
      </c>
    </row>
    <row r="106" spans="1:18" ht="15.75" customHeight="1">
      <c r="A106" s="69" t="s">
        <v>243</v>
      </c>
      <c r="B106" s="70">
        <v>45541</v>
      </c>
      <c r="C106" s="69" t="s">
        <v>142</v>
      </c>
      <c r="D106" s="69" t="s">
        <v>143</v>
      </c>
      <c r="E106" s="69" t="s">
        <v>35</v>
      </c>
      <c r="F106" s="69" t="s">
        <v>36</v>
      </c>
      <c r="G106" s="69" t="s">
        <v>37</v>
      </c>
      <c r="H106" s="69">
        <v>3</v>
      </c>
      <c r="I106" s="69">
        <v>59.99</v>
      </c>
      <c r="J106" s="69" t="s">
        <v>30</v>
      </c>
      <c r="K106" s="69" t="s">
        <v>25</v>
      </c>
      <c r="L106" s="69" t="s">
        <v>31</v>
      </c>
      <c r="M106" s="70">
        <v>44717</v>
      </c>
      <c r="N106" s="69">
        <v>179.97</v>
      </c>
      <c r="O106" s="47">
        <f t="shared" ca="1" si="4"/>
        <v>1442</v>
      </c>
      <c r="P106" s="47">
        <f t="shared" ca="1" si="5"/>
        <v>618</v>
      </c>
      <c r="Q106" s="71" t="str">
        <f t="shared" si="6"/>
        <v>2024-09</v>
      </c>
      <c r="R106" s="49">
        <f t="shared" si="7"/>
        <v>202409</v>
      </c>
    </row>
    <row r="107" spans="1:18" ht="15.75" customHeight="1">
      <c r="A107" s="69" t="s">
        <v>244</v>
      </c>
      <c r="B107" s="70">
        <v>45544</v>
      </c>
      <c r="C107" s="69" t="s">
        <v>136</v>
      </c>
      <c r="D107" s="69" t="s">
        <v>137</v>
      </c>
      <c r="E107" s="69" t="s">
        <v>35</v>
      </c>
      <c r="F107" s="69" t="s">
        <v>36</v>
      </c>
      <c r="G107" s="69" t="s">
        <v>37</v>
      </c>
      <c r="H107" s="69">
        <v>3</v>
      </c>
      <c r="I107" s="69">
        <v>59.99</v>
      </c>
      <c r="J107" s="69" t="s">
        <v>38</v>
      </c>
      <c r="K107" s="69" t="s">
        <v>67</v>
      </c>
      <c r="L107" s="69" t="s">
        <v>40</v>
      </c>
      <c r="M107" s="70">
        <v>44748</v>
      </c>
      <c r="N107" s="69">
        <v>179.97</v>
      </c>
      <c r="O107" s="47">
        <f t="shared" ca="1" si="4"/>
        <v>1411</v>
      </c>
      <c r="P107" s="47">
        <f t="shared" ca="1" si="5"/>
        <v>615</v>
      </c>
      <c r="Q107" s="71" t="str">
        <f t="shared" si="6"/>
        <v>2024-09</v>
      </c>
      <c r="R107" s="49">
        <f t="shared" si="7"/>
        <v>202409</v>
      </c>
    </row>
    <row r="108" spans="1:18" ht="15.75" customHeight="1">
      <c r="A108" s="69" t="s">
        <v>245</v>
      </c>
      <c r="B108" s="70">
        <v>45544</v>
      </c>
      <c r="C108" s="69" t="s">
        <v>145</v>
      </c>
      <c r="D108" s="69" t="s">
        <v>146</v>
      </c>
      <c r="E108" s="69" t="s">
        <v>118</v>
      </c>
      <c r="F108" s="69" t="s">
        <v>119</v>
      </c>
      <c r="G108" s="69" t="s">
        <v>37</v>
      </c>
      <c r="H108" s="69">
        <v>4</v>
      </c>
      <c r="I108" s="69">
        <v>79.989999999999995</v>
      </c>
      <c r="J108" s="69" t="s">
        <v>24</v>
      </c>
      <c r="K108" s="69" t="s">
        <v>44</v>
      </c>
      <c r="L108" s="69" t="s">
        <v>26</v>
      </c>
      <c r="M108" s="70">
        <v>44530</v>
      </c>
      <c r="N108" s="69">
        <v>319.95999999999998</v>
      </c>
      <c r="O108" s="47">
        <f t="shared" ca="1" si="4"/>
        <v>1629</v>
      </c>
      <c r="P108" s="47">
        <f t="shared" ca="1" si="5"/>
        <v>615</v>
      </c>
      <c r="Q108" s="71" t="str">
        <f t="shared" si="6"/>
        <v>2024-09</v>
      </c>
      <c r="R108" s="49">
        <f t="shared" si="7"/>
        <v>202409</v>
      </c>
    </row>
    <row r="109" spans="1:18" ht="15.75" customHeight="1">
      <c r="A109" s="69" t="s">
        <v>246</v>
      </c>
      <c r="B109" s="70">
        <v>45545</v>
      </c>
      <c r="C109" s="69" t="s">
        <v>59</v>
      </c>
      <c r="D109" s="69" t="s">
        <v>60</v>
      </c>
      <c r="E109" s="69" t="s">
        <v>118</v>
      </c>
      <c r="F109" s="69" t="s">
        <v>119</v>
      </c>
      <c r="G109" s="69" t="s">
        <v>37</v>
      </c>
      <c r="H109" s="69">
        <v>1</v>
      </c>
      <c r="I109" s="69">
        <v>79.989999999999995</v>
      </c>
      <c r="J109" s="69" t="s">
        <v>24</v>
      </c>
      <c r="K109" s="69" t="s">
        <v>54</v>
      </c>
      <c r="L109" s="69" t="s">
        <v>26</v>
      </c>
      <c r="M109" s="70">
        <v>44693</v>
      </c>
      <c r="N109" s="69">
        <v>79.989999999999995</v>
      </c>
      <c r="O109" s="47">
        <f t="shared" ca="1" si="4"/>
        <v>1466</v>
      </c>
      <c r="P109" s="47">
        <f t="shared" ca="1" si="5"/>
        <v>614</v>
      </c>
      <c r="Q109" s="71" t="str">
        <f t="shared" si="6"/>
        <v>2024-09</v>
      </c>
      <c r="R109" s="49">
        <f t="shared" si="7"/>
        <v>202409</v>
      </c>
    </row>
    <row r="110" spans="1:18" ht="15.75" customHeight="1">
      <c r="A110" s="69" t="s">
        <v>247</v>
      </c>
      <c r="B110" s="70">
        <v>45547</v>
      </c>
      <c r="C110" s="69" t="s">
        <v>52</v>
      </c>
      <c r="D110" s="69" t="s">
        <v>53</v>
      </c>
      <c r="E110" s="69" t="s">
        <v>109</v>
      </c>
      <c r="F110" s="69" t="s">
        <v>110</v>
      </c>
      <c r="G110" s="69" t="s">
        <v>50</v>
      </c>
      <c r="H110" s="69">
        <v>3</v>
      </c>
      <c r="I110" s="69">
        <v>299.99</v>
      </c>
      <c r="J110" s="69" t="s">
        <v>30</v>
      </c>
      <c r="K110" s="69" t="s">
        <v>25</v>
      </c>
      <c r="L110" s="69" t="s">
        <v>31</v>
      </c>
      <c r="M110" s="70">
        <v>44494</v>
      </c>
      <c r="N110" s="69">
        <v>899.97</v>
      </c>
      <c r="O110" s="47">
        <f t="shared" ca="1" si="4"/>
        <v>1665</v>
      </c>
      <c r="P110" s="47">
        <f t="shared" ca="1" si="5"/>
        <v>612</v>
      </c>
      <c r="Q110" s="71" t="str">
        <f t="shared" si="6"/>
        <v>2024-09</v>
      </c>
      <c r="R110" s="49">
        <f t="shared" si="7"/>
        <v>202409</v>
      </c>
    </row>
    <row r="111" spans="1:18" ht="15.75" customHeight="1">
      <c r="A111" s="69" t="s">
        <v>248</v>
      </c>
      <c r="B111" s="70">
        <v>45548</v>
      </c>
      <c r="C111" s="69" t="s">
        <v>42</v>
      </c>
      <c r="D111" s="69" t="s">
        <v>43</v>
      </c>
      <c r="E111" s="69" t="s">
        <v>121</v>
      </c>
      <c r="F111" s="69" t="s">
        <v>122</v>
      </c>
      <c r="G111" s="69" t="s">
        <v>23</v>
      </c>
      <c r="H111" s="69">
        <v>2</v>
      </c>
      <c r="I111" s="69">
        <v>89.99</v>
      </c>
      <c r="J111" s="69" t="s">
        <v>30</v>
      </c>
      <c r="K111" s="69" t="s">
        <v>39</v>
      </c>
      <c r="L111" s="69" t="s">
        <v>31</v>
      </c>
      <c r="M111" s="70">
        <v>44641</v>
      </c>
      <c r="N111" s="69">
        <v>179.98</v>
      </c>
      <c r="O111" s="47">
        <f t="shared" ca="1" si="4"/>
        <v>1518</v>
      </c>
      <c r="P111" s="47">
        <f t="shared" ca="1" si="5"/>
        <v>611</v>
      </c>
      <c r="Q111" s="71" t="str">
        <f t="shared" si="6"/>
        <v>2024-09</v>
      </c>
      <c r="R111" s="49">
        <f t="shared" si="7"/>
        <v>202409</v>
      </c>
    </row>
    <row r="112" spans="1:18" ht="15.75" customHeight="1">
      <c r="A112" s="69" t="s">
        <v>249</v>
      </c>
      <c r="B112" s="70">
        <v>45550</v>
      </c>
      <c r="C112" s="69" t="s">
        <v>250</v>
      </c>
      <c r="D112" s="69" t="s">
        <v>251</v>
      </c>
      <c r="E112" s="69" t="s">
        <v>56</v>
      </c>
      <c r="F112" s="69" t="s">
        <v>57</v>
      </c>
      <c r="G112" s="69" t="s">
        <v>23</v>
      </c>
      <c r="H112" s="69">
        <v>4</v>
      </c>
      <c r="I112" s="69">
        <v>149.99</v>
      </c>
      <c r="J112" s="69" t="s">
        <v>24</v>
      </c>
      <c r="K112" s="69" t="s">
        <v>44</v>
      </c>
      <c r="L112" s="69" t="s">
        <v>26</v>
      </c>
      <c r="M112" s="70">
        <v>44909</v>
      </c>
      <c r="N112" s="69">
        <v>599.96</v>
      </c>
      <c r="O112" s="47">
        <f t="shared" ca="1" si="4"/>
        <v>1250</v>
      </c>
      <c r="P112" s="47">
        <f t="shared" ca="1" si="5"/>
        <v>609</v>
      </c>
      <c r="Q112" s="71" t="str">
        <f t="shared" si="6"/>
        <v>2024-09</v>
      </c>
      <c r="R112" s="49">
        <f t="shared" si="7"/>
        <v>202409</v>
      </c>
    </row>
    <row r="113" spans="1:18" ht="15.75" customHeight="1">
      <c r="A113" s="69" t="s">
        <v>252</v>
      </c>
      <c r="B113" s="70">
        <v>45551</v>
      </c>
      <c r="C113" s="69" t="s">
        <v>69</v>
      </c>
      <c r="D113" s="69" t="s">
        <v>70</v>
      </c>
      <c r="E113" s="69" t="s">
        <v>21</v>
      </c>
      <c r="F113" s="69" t="s">
        <v>22</v>
      </c>
      <c r="G113" s="69" t="s">
        <v>23</v>
      </c>
      <c r="H113" s="69">
        <v>2</v>
      </c>
      <c r="I113" s="69">
        <v>249.99</v>
      </c>
      <c r="J113" s="69" t="s">
        <v>38</v>
      </c>
      <c r="K113" s="69" t="s">
        <v>39</v>
      </c>
      <c r="L113" s="69" t="s">
        <v>26</v>
      </c>
      <c r="M113" s="70">
        <v>44993</v>
      </c>
      <c r="N113" s="69">
        <v>499.98</v>
      </c>
      <c r="O113" s="47">
        <f t="shared" ca="1" si="4"/>
        <v>1166</v>
      </c>
      <c r="P113" s="47">
        <f t="shared" ca="1" si="5"/>
        <v>608</v>
      </c>
      <c r="Q113" s="71" t="str">
        <f t="shared" si="6"/>
        <v>2024-09</v>
      </c>
      <c r="R113" s="49">
        <f t="shared" si="7"/>
        <v>202409</v>
      </c>
    </row>
    <row r="114" spans="1:18" ht="15.75" customHeight="1">
      <c r="A114" s="69" t="s">
        <v>253</v>
      </c>
      <c r="B114" s="70">
        <v>45551</v>
      </c>
      <c r="C114" s="69" t="s">
        <v>158</v>
      </c>
      <c r="D114" s="69" t="s">
        <v>159</v>
      </c>
      <c r="E114" s="69" t="s">
        <v>130</v>
      </c>
      <c r="F114" s="69" t="s">
        <v>131</v>
      </c>
      <c r="G114" s="69" t="s">
        <v>50</v>
      </c>
      <c r="H114" s="69">
        <v>4</v>
      </c>
      <c r="I114" s="69">
        <v>199.99</v>
      </c>
      <c r="J114" s="69" t="s">
        <v>61</v>
      </c>
      <c r="K114" s="69" t="s">
        <v>67</v>
      </c>
      <c r="L114" s="69" t="s">
        <v>26</v>
      </c>
      <c r="M114" s="70">
        <v>44458</v>
      </c>
      <c r="N114" s="69">
        <v>799.96</v>
      </c>
      <c r="O114" s="47">
        <f t="shared" ca="1" si="4"/>
        <v>1701</v>
      </c>
      <c r="P114" s="47">
        <f t="shared" ca="1" si="5"/>
        <v>608</v>
      </c>
      <c r="Q114" s="71" t="str">
        <f t="shared" si="6"/>
        <v>2024-09</v>
      </c>
      <c r="R114" s="49">
        <f t="shared" si="7"/>
        <v>202409</v>
      </c>
    </row>
    <row r="115" spans="1:18" ht="15.75" customHeight="1">
      <c r="A115" s="69" t="s">
        <v>254</v>
      </c>
      <c r="B115" s="70">
        <v>45554</v>
      </c>
      <c r="C115" s="69" t="s">
        <v>151</v>
      </c>
      <c r="D115" s="69" t="s">
        <v>152</v>
      </c>
      <c r="E115" s="69" t="s">
        <v>121</v>
      </c>
      <c r="F115" s="69" t="s">
        <v>122</v>
      </c>
      <c r="G115" s="69" t="s">
        <v>23</v>
      </c>
      <c r="H115" s="69">
        <v>5</v>
      </c>
      <c r="I115" s="69">
        <v>89.99</v>
      </c>
      <c r="J115" s="69" t="s">
        <v>30</v>
      </c>
      <c r="K115" s="69" t="s">
        <v>67</v>
      </c>
      <c r="L115" s="69" t="s">
        <v>31</v>
      </c>
      <c r="M115" s="70">
        <v>44446</v>
      </c>
      <c r="N115" s="69">
        <v>449.95</v>
      </c>
      <c r="O115" s="47">
        <f t="shared" ca="1" si="4"/>
        <v>1713</v>
      </c>
      <c r="P115" s="47">
        <f t="shared" ca="1" si="5"/>
        <v>605</v>
      </c>
      <c r="Q115" s="71" t="str">
        <f t="shared" si="6"/>
        <v>2024-09</v>
      </c>
      <c r="R115" s="49">
        <f t="shared" si="7"/>
        <v>202409</v>
      </c>
    </row>
    <row r="116" spans="1:18" ht="15.75" customHeight="1">
      <c r="A116" s="69" t="s">
        <v>255</v>
      </c>
      <c r="B116" s="70">
        <v>45554</v>
      </c>
      <c r="C116" s="69" t="s">
        <v>256</v>
      </c>
      <c r="D116" s="69" t="s">
        <v>257</v>
      </c>
      <c r="E116" s="69" t="s">
        <v>56</v>
      </c>
      <c r="F116" s="69" t="s">
        <v>57</v>
      </c>
      <c r="G116" s="69" t="s">
        <v>23</v>
      </c>
      <c r="H116" s="69">
        <v>1</v>
      </c>
      <c r="I116" s="69">
        <v>149.99</v>
      </c>
      <c r="J116" s="69" t="s">
        <v>38</v>
      </c>
      <c r="K116" s="69" t="s">
        <v>67</v>
      </c>
      <c r="L116" s="69" t="s">
        <v>40</v>
      </c>
      <c r="M116" s="70">
        <v>44482</v>
      </c>
      <c r="N116" s="69">
        <v>149.99</v>
      </c>
      <c r="O116" s="47">
        <f t="shared" ca="1" si="4"/>
        <v>1677</v>
      </c>
      <c r="P116" s="47">
        <f t="shared" ca="1" si="5"/>
        <v>605</v>
      </c>
      <c r="Q116" s="71" t="str">
        <f t="shared" si="6"/>
        <v>2024-09</v>
      </c>
      <c r="R116" s="49">
        <f t="shared" si="7"/>
        <v>202409</v>
      </c>
    </row>
    <row r="117" spans="1:18" ht="15.75" customHeight="1">
      <c r="A117" s="69" t="s">
        <v>258</v>
      </c>
      <c r="B117" s="70">
        <v>45554</v>
      </c>
      <c r="C117" s="69" t="s">
        <v>76</v>
      </c>
      <c r="D117" s="69" t="s">
        <v>77</v>
      </c>
      <c r="E117" s="69" t="s">
        <v>84</v>
      </c>
      <c r="F117" s="69" t="s">
        <v>85</v>
      </c>
      <c r="G117" s="69" t="s">
        <v>23</v>
      </c>
      <c r="H117" s="69">
        <v>4</v>
      </c>
      <c r="I117" s="69">
        <v>699.99</v>
      </c>
      <c r="J117" s="69" t="s">
        <v>38</v>
      </c>
      <c r="K117" s="69" t="s">
        <v>39</v>
      </c>
      <c r="L117" s="69" t="s">
        <v>26</v>
      </c>
      <c r="M117" s="70">
        <v>44618</v>
      </c>
      <c r="N117" s="69">
        <v>2799.96</v>
      </c>
      <c r="O117" s="47">
        <f t="shared" ca="1" si="4"/>
        <v>1541</v>
      </c>
      <c r="P117" s="47">
        <f t="shared" ca="1" si="5"/>
        <v>605</v>
      </c>
      <c r="Q117" s="71" t="str">
        <f t="shared" si="6"/>
        <v>2024-09</v>
      </c>
      <c r="R117" s="49">
        <f t="shared" si="7"/>
        <v>202409</v>
      </c>
    </row>
    <row r="118" spans="1:18" ht="15.75" customHeight="1">
      <c r="A118" s="69" t="s">
        <v>259</v>
      </c>
      <c r="B118" s="70">
        <v>45559</v>
      </c>
      <c r="C118" s="69" t="s">
        <v>238</v>
      </c>
      <c r="D118" s="69" t="s">
        <v>239</v>
      </c>
      <c r="E118" s="69" t="s">
        <v>65</v>
      </c>
      <c r="F118" s="69" t="s">
        <v>66</v>
      </c>
      <c r="G118" s="69" t="s">
        <v>23</v>
      </c>
      <c r="H118" s="69">
        <v>3</v>
      </c>
      <c r="I118" s="69">
        <v>899.99</v>
      </c>
      <c r="J118" s="69" t="s">
        <v>30</v>
      </c>
      <c r="K118" s="69" t="s">
        <v>44</v>
      </c>
      <c r="L118" s="69" t="s">
        <v>40</v>
      </c>
      <c r="M118" s="70">
        <v>45157</v>
      </c>
      <c r="N118" s="69">
        <v>2699.97</v>
      </c>
      <c r="O118" s="47">
        <f t="shared" ca="1" si="4"/>
        <v>1002</v>
      </c>
      <c r="P118" s="47">
        <f t="shared" ca="1" si="5"/>
        <v>600</v>
      </c>
      <c r="Q118" s="71" t="str">
        <f t="shared" si="6"/>
        <v>2024-09</v>
      </c>
      <c r="R118" s="49">
        <f t="shared" si="7"/>
        <v>202409</v>
      </c>
    </row>
    <row r="119" spans="1:18" ht="15.75" customHeight="1">
      <c r="A119" s="69" t="s">
        <v>260</v>
      </c>
      <c r="B119" s="70">
        <v>45560</v>
      </c>
      <c r="C119" s="69" t="s">
        <v>116</v>
      </c>
      <c r="D119" s="69" t="s">
        <v>117</v>
      </c>
      <c r="E119" s="69" t="s">
        <v>48</v>
      </c>
      <c r="F119" s="69" t="s">
        <v>49</v>
      </c>
      <c r="G119" s="69" t="s">
        <v>50</v>
      </c>
      <c r="H119" s="69">
        <v>3</v>
      </c>
      <c r="I119" s="69">
        <v>149.99</v>
      </c>
      <c r="J119" s="69" t="s">
        <v>38</v>
      </c>
      <c r="K119" s="69" t="s">
        <v>67</v>
      </c>
      <c r="L119" s="69" t="s">
        <v>26</v>
      </c>
      <c r="M119" s="70">
        <v>44886</v>
      </c>
      <c r="N119" s="69">
        <v>449.97</v>
      </c>
      <c r="O119" s="47">
        <f t="shared" ca="1" si="4"/>
        <v>1273</v>
      </c>
      <c r="P119" s="47">
        <f t="shared" ca="1" si="5"/>
        <v>599</v>
      </c>
      <c r="Q119" s="71" t="str">
        <f t="shared" si="6"/>
        <v>2024-09</v>
      </c>
      <c r="R119" s="49">
        <f t="shared" si="7"/>
        <v>202409</v>
      </c>
    </row>
    <row r="120" spans="1:18" ht="15.75" customHeight="1">
      <c r="A120" s="69" t="s">
        <v>261</v>
      </c>
      <c r="B120" s="70">
        <v>45563</v>
      </c>
      <c r="C120" s="69" t="s">
        <v>103</v>
      </c>
      <c r="D120" s="69" t="s">
        <v>104</v>
      </c>
      <c r="E120" s="69" t="s">
        <v>109</v>
      </c>
      <c r="F120" s="69" t="s">
        <v>110</v>
      </c>
      <c r="G120" s="69" t="s">
        <v>50</v>
      </c>
      <c r="H120" s="69">
        <v>2</v>
      </c>
      <c r="I120" s="69">
        <v>299.99</v>
      </c>
      <c r="J120" s="69" t="s">
        <v>61</v>
      </c>
      <c r="K120" s="69" t="s">
        <v>25</v>
      </c>
      <c r="L120" s="69" t="s">
        <v>26</v>
      </c>
      <c r="M120" s="70">
        <v>44569</v>
      </c>
      <c r="N120" s="69">
        <v>599.98</v>
      </c>
      <c r="O120" s="47">
        <f t="shared" ca="1" si="4"/>
        <v>1590</v>
      </c>
      <c r="P120" s="47">
        <f t="shared" ca="1" si="5"/>
        <v>596</v>
      </c>
      <c r="Q120" s="71" t="str">
        <f t="shared" si="6"/>
        <v>2024-09</v>
      </c>
      <c r="R120" s="49">
        <f t="shared" si="7"/>
        <v>202409</v>
      </c>
    </row>
    <row r="121" spans="1:18" ht="15.75" customHeight="1">
      <c r="A121" s="69" t="s">
        <v>262</v>
      </c>
      <c r="B121" s="70">
        <v>45564</v>
      </c>
      <c r="C121" s="69" t="s">
        <v>263</v>
      </c>
      <c r="D121" s="69" t="s">
        <v>264</v>
      </c>
      <c r="E121" s="69" t="s">
        <v>130</v>
      </c>
      <c r="F121" s="69" t="s">
        <v>131</v>
      </c>
      <c r="G121" s="69" t="s">
        <v>50</v>
      </c>
      <c r="H121" s="69">
        <v>1</v>
      </c>
      <c r="I121" s="69">
        <v>199.99</v>
      </c>
      <c r="J121" s="69" t="s">
        <v>61</v>
      </c>
      <c r="K121" s="69" t="s">
        <v>67</v>
      </c>
      <c r="L121" s="69" t="s">
        <v>40</v>
      </c>
      <c r="M121" s="70">
        <v>44953</v>
      </c>
      <c r="N121" s="69">
        <v>199.99</v>
      </c>
      <c r="O121" s="47">
        <f t="shared" ca="1" si="4"/>
        <v>1206</v>
      </c>
      <c r="P121" s="47">
        <f t="shared" ca="1" si="5"/>
        <v>595</v>
      </c>
      <c r="Q121" s="71" t="str">
        <f t="shared" si="6"/>
        <v>2024-09</v>
      </c>
      <c r="R121" s="49">
        <f t="shared" si="7"/>
        <v>202409</v>
      </c>
    </row>
    <row r="122" spans="1:18" ht="15.75" customHeight="1">
      <c r="A122" s="69" t="s">
        <v>265</v>
      </c>
      <c r="B122" s="70">
        <v>45566</v>
      </c>
      <c r="C122" s="69" t="s">
        <v>46</v>
      </c>
      <c r="D122" s="69" t="s">
        <v>47</v>
      </c>
      <c r="E122" s="69" t="s">
        <v>109</v>
      </c>
      <c r="F122" s="69" t="s">
        <v>110</v>
      </c>
      <c r="G122" s="69" t="s">
        <v>50</v>
      </c>
      <c r="H122" s="69">
        <v>4</v>
      </c>
      <c r="I122" s="69">
        <v>299.99</v>
      </c>
      <c r="J122" s="69" t="s">
        <v>24</v>
      </c>
      <c r="K122" s="69" t="s">
        <v>25</v>
      </c>
      <c r="L122" s="69" t="s">
        <v>31</v>
      </c>
      <c r="M122" s="70">
        <v>44460</v>
      </c>
      <c r="N122" s="69">
        <v>1199.96</v>
      </c>
      <c r="O122" s="47">
        <f t="shared" ca="1" si="4"/>
        <v>1699</v>
      </c>
      <c r="P122" s="47">
        <f t="shared" ca="1" si="5"/>
        <v>593</v>
      </c>
      <c r="Q122" s="71" t="str">
        <f t="shared" si="6"/>
        <v>2024-10</v>
      </c>
      <c r="R122" s="49">
        <f t="shared" si="7"/>
        <v>202410</v>
      </c>
    </row>
    <row r="123" spans="1:18" ht="15.75" customHeight="1">
      <c r="A123" s="69" t="s">
        <v>266</v>
      </c>
      <c r="B123" s="70">
        <v>45572</v>
      </c>
      <c r="C123" s="69" t="s">
        <v>93</v>
      </c>
      <c r="D123" s="69" t="s">
        <v>94</v>
      </c>
      <c r="E123" s="69" t="s">
        <v>35</v>
      </c>
      <c r="F123" s="69" t="s">
        <v>36</v>
      </c>
      <c r="G123" s="69" t="s">
        <v>37</v>
      </c>
      <c r="H123" s="69">
        <v>2</v>
      </c>
      <c r="I123" s="69">
        <v>59.99</v>
      </c>
      <c r="J123" s="69" t="s">
        <v>30</v>
      </c>
      <c r="K123" s="69" t="s">
        <v>25</v>
      </c>
      <c r="L123" s="69" t="s">
        <v>26</v>
      </c>
      <c r="M123" s="70">
        <v>44579</v>
      </c>
      <c r="N123" s="69">
        <v>119.98</v>
      </c>
      <c r="O123" s="47">
        <f t="shared" ca="1" si="4"/>
        <v>1580</v>
      </c>
      <c r="P123" s="47">
        <f t="shared" ca="1" si="5"/>
        <v>587</v>
      </c>
      <c r="Q123" s="71" t="str">
        <f t="shared" si="6"/>
        <v>2024-10</v>
      </c>
      <c r="R123" s="49">
        <f t="shared" si="7"/>
        <v>202410</v>
      </c>
    </row>
    <row r="124" spans="1:18" ht="15.75" customHeight="1">
      <c r="A124" s="69" t="s">
        <v>267</v>
      </c>
      <c r="B124" s="70">
        <v>45572</v>
      </c>
      <c r="C124" s="69" t="s">
        <v>238</v>
      </c>
      <c r="D124" s="69" t="s">
        <v>239</v>
      </c>
      <c r="E124" s="69" t="s">
        <v>56</v>
      </c>
      <c r="F124" s="69" t="s">
        <v>57</v>
      </c>
      <c r="G124" s="69" t="s">
        <v>23</v>
      </c>
      <c r="H124" s="69">
        <v>4</v>
      </c>
      <c r="I124" s="69">
        <v>149.99</v>
      </c>
      <c r="J124" s="69" t="s">
        <v>30</v>
      </c>
      <c r="K124" s="69" t="s">
        <v>44</v>
      </c>
      <c r="L124" s="69" t="s">
        <v>31</v>
      </c>
      <c r="M124" s="70">
        <v>45076</v>
      </c>
      <c r="N124" s="69">
        <v>599.96</v>
      </c>
      <c r="O124" s="47">
        <f t="shared" ca="1" si="4"/>
        <v>1083</v>
      </c>
      <c r="P124" s="47">
        <f t="shared" ca="1" si="5"/>
        <v>587</v>
      </c>
      <c r="Q124" s="71" t="str">
        <f t="shared" si="6"/>
        <v>2024-10</v>
      </c>
      <c r="R124" s="49">
        <f t="shared" si="7"/>
        <v>202410</v>
      </c>
    </row>
    <row r="125" spans="1:18" ht="15.75" customHeight="1">
      <c r="A125" s="69" t="s">
        <v>268</v>
      </c>
      <c r="B125" s="70">
        <v>45573</v>
      </c>
      <c r="C125" s="69" t="s">
        <v>215</v>
      </c>
      <c r="D125" s="69" t="s">
        <v>216</v>
      </c>
      <c r="E125" s="69" t="s">
        <v>84</v>
      </c>
      <c r="F125" s="69" t="s">
        <v>85</v>
      </c>
      <c r="G125" s="69" t="s">
        <v>23</v>
      </c>
      <c r="H125" s="69">
        <v>2</v>
      </c>
      <c r="I125" s="69">
        <v>699.99</v>
      </c>
      <c r="J125" s="69" t="s">
        <v>61</v>
      </c>
      <c r="K125" s="69" t="s">
        <v>67</v>
      </c>
      <c r="L125" s="69" t="s">
        <v>31</v>
      </c>
      <c r="M125" s="70">
        <v>45274</v>
      </c>
      <c r="N125" s="69">
        <v>1399.98</v>
      </c>
      <c r="O125" s="47">
        <f t="shared" ca="1" si="4"/>
        <v>885</v>
      </c>
      <c r="P125" s="47">
        <f t="shared" ca="1" si="5"/>
        <v>586</v>
      </c>
      <c r="Q125" s="71" t="str">
        <f t="shared" si="6"/>
        <v>2024-10</v>
      </c>
      <c r="R125" s="49">
        <f t="shared" si="7"/>
        <v>202410</v>
      </c>
    </row>
    <row r="126" spans="1:18" ht="15.75" customHeight="1">
      <c r="A126" s="69" t="s">
        <v>269</v>
      </c>
      <c r="B126" s="70">
        <v>45573</v>
      </c>
      <c r="C126" s="69" t="s">
        <v>235</v>
      </c>
      <c r="D126" s="69" t="s">
        <v>236</v>
      </c>
      <c r="E126" s="69" t="s">
        <v>48</v>
      </c>
      <c r="F126" s="69" t="s">
        <v>49</v>
      </c>
      <c r="G126" s="69" t="s">
        <v>50</v>
      </c>
      <c r="H126" s="69">
        <v>3</v>
      </c>
      <c r="I126" s="69">
        <v>149.99</v>
      </c>
      <c r="J126" s="69" t="s">
        <v>30</v>
      </c>
      <c r="K126" s="69" t="s">
        <v>39</v>
      </c>
      <c r="L126" s="69" t="s">
        <v>40</v>
      </c>
      <c r="M126" s="70">
        <v>44940</v>
      </c>
      <c r="N126" s="69">
        <v>449.97</v>
      </c>
      <c r="O126" s="47">
        <f t="shared" ca="1" si="4"/>
        <v>1219</v>
      </c>
      <c r="P126" s="47">
        <f t="shared" ca="1" si="5"/>
        <v>586</v>
      </c>
      <c r="Q126" s="71" t="str">
        <f t="shared" si="6"/>
        <v>2024-10</v>
      </c>
      <c r="R126" s="49">
        <f t="shared" si="7"/>
        <v>202410</v>
      </c>
    </row>
    <row r="127" spans="1:18" ht="15.75" customHeight="1">
      <c r="A127" s="69" t="s">
        <v>270</v>
      </c>
      <c r="B127" s="70">
        <v>45576</v>
      </c>
      <c r="C127" s="69" t="s">
        <v>151</v>
      </c>
      <c r="D127" s="69" t="s">
        <v>152</v>
      </c>
      <c r="E127" s="69" t="s">
        <v>109</v>
      </c>
      <c r="F127" s="69" t="s">
        <v>110</v>
      </c>
      <c r="G127" s="69" t="s">
        <v>50</v>
      </c>
      <c r="H127" s="69">
        <v>3</v>
      </c>
      <c r="I127" s="69">
        <v>299.99</v>
      </c>
      <c r="J127" s="69" t="s">
        <v>30</v>
      </c>
      <c r="K127" s="69" t="s">
        <v>25</v>
      </c>
      <c r="L127" s="69" t="s">
        <v>40</v>
      </c>
      <c r="M127" s="70">
        <v>45174</v>
      </c>
      <c r="N127" s="69">
        <v>899.97</v>
      </c>
      <c r="O127" s="47">
        <f t="shared" ca="1" si="4"/>
        <v>985</v>
      </c>
      <c r="P127" s="47">
        <f t="shared" ca="1" si="5"/>
        <v>583</v>
      </c>
      <c r="Q127" s="71" t="str">
        <f t="shared" si="6"/>
        <v>2024-10</v>
      </c>
      <c r="R127" s="49">
        <f t="shared" si="7"/>
        <v>202410</v>
      </c>
    </row>
    <row r="128" spans="1:18" ht="15.75" customHeight="1">
      <c r="A128" s="69" t="s">
        <v>271</v>
      </c>
      <c r="B128" s="70">
        <v>45579</v>
      </c>
      <c r="C128" s="69" t="s">
        <v>87</v>
      </c>
      <c r="D128" s="69" t="s">
        <v>88</v>
      </c>
      <c r="E128" s="69" t="s">
        <v>65</v>
      </c>
      <c r="F128" s="69" t="s">
        <v>66</v>
      </c>
      <c r="G128" s="69" t="s">
        <v>23</v>
      </c>
      <c r="H128" s="69">
        <v>3</v>
      </c>
      <c r="I128" s="69">
        <v>899.99</v>
      </c>
      <c r="J128" s="69" t="s">
        <v>38</v>
      </c>
      <c r="K128" s="69" t="s">
        <v>54</v>
      </c>
      <c r="L128" s="69" t="s">
        <v>26</v>
      </c>
      <c r="M128" s="70">
        <v>45215</v>
      </c>
      <c r="N128" s="69">
        <v>2699.97</v>
      </c>
      <c r="O128" s="47">
        <f t="shared" ca="1" si="4"/>
        <v>944</v>
      </c>
      <c r="P128" s="47">
        <f t="shared" ca="1" si="5"/>
        <v>580</v>
      </c>
      <c r="Q128" s="71" t="str">
        <f t="shared" si="6"/>
        <v>2024-10</v>
      </c>
      <c r="R128" s="49">
        <f t="shared" si="7"/>
        <v>202410</v>
      </c>
    </row>
    <row r="129" spans="1:18" ht="15.75" customHeight="1">
      <c r="A129" s="69" t="s">
        <v>272</v>
      </c>
      <c r="B129" s="70">
        <v>45581</v>
      </c>
      <c r="C129" s="69" t="s">
        <v>100</v>
      </c>
      <c r="D129" s="69" t="s">
        <v>101</v>
      </c>
      <c r="E129" s="69" t="s">
        <v>84</v>
      </c>
      <c r="F129" s="69" t="s">
        <v>85</v>
      </c>
      <c r="G129" s="69" t="s">
        <v>23</v>
      </c>
      <c r="H129" s="69">
        <v>5</v>
      </c>
      <c r="I129" s="69">
        <v>699.99</v>
      </c>
      <c r="J129" s="69" t="s">
        <v>24</v>
      </c>
      <c r="K129" s="69" t="s">
        <v>67</v>
      </c>
      <c r="L129" s="69" t="s">
        <v>40</v>
      </c>
      <c r="M129" s="70">
        <v>45008</v>
      </c>
      <c r="N129" s="69">
        <v>3499.95</v>
      </c>
      <c r="O129" s="47">
        <f t="shared" ca="1" si="4"/>
        <v>1151</v>
      </c>
      <c r="P129" s="47">
        <f t="shared" ca="1" si="5"/>
        <v>578</v>
      </c>
      <c r="Q129" s="71" t="str">
        <f t="shared" si="6"/>
        <v>2024-10</v>
      </c>
      <c r="R129" s="49">
        <f t="shared" si="7"/>
        <v>202410</v>
      </c>
    </row>
    <row r="130" spans="1:18" ht="15.75" customHeight="1">
      <c r="A130" s="69" t="s">
        <v>273</v>
      </c>
      <c r="B130" s="70">
        <v>45581</v>
      </c>
      <c r="C130" s="69" t="s">
        <v>175</v>
      </c>
      <c r="D130" s="69" t="s">
        <v>176</v>
      </c>
      <c r="E130" s="69" t="s">
        <v>84</v>
      </c>
      <c r="F130" s="69" t="s">
        <v>85</v>
      </c>
      <c r="G130" s="69" t="s">
        <v>23</v>
      </c>
      <c r="H130" s="69">
        <v>4</v>
      </c>
      <c r="I130" s="69">
        <v>699.99</v>
      </c>
      <c r="J130" s="69" t="s">
        <v>30</v>
      </c>
      <c r="K130" s="69" t="s">
        <v>25</v>
      </c>
      <c r="L130" s="69" t="s">
        <v>26</v>
      </c>
      <c r="M130" s="70">
        <v>45385</v>
      </c>
      <c r="N130" s="69">
        <v>2799.96</v>
      </c>
      <c r="O130" s="47">
        <f t="shared" ca="1" si="4"/>
        <v>774</v>
      </c>
      <c r="P130" s="47">
        <f t="shared" ca="1" si="5"/>
        <v>578</v>
      </c>
      <c r="Q130" s="71" t="str">
        <f t="shared" si="6"/>
        <v>2024-10</v>
      </c>
      <c r="R130" s="49">
        <f t="shared" si="7"/>
        <v>202410</v>
      </c>
    </row>
    <row r="131" spans="1:18" ht="15.75" customHeight="1">
      <c r="A131" s="69" t="s">
        <v>274</v>
      </c>
      <c r="B131" s="70">
        <v>45581</v>
      </c>
      <c r="C131" s="69" t="s">
        <v>154</v>
      </c>
      <c r="D131" s="69" t="s">
        <v>155</v>
      </c>
      <c r="E131" s="69" t="s">
        <v>65</v>
      </c>
      <c r="F131" s="69" t="s">
        <v>66</v>
      </c>
      <c r="G131" s="69" t="s">
        <v>23</v>
      </c>
      <c r="H131" s="69">
        <v>1</v>
      </c>
      <c r="I131" s="69">
        <v>899.99</v>
      </c>
      <c r="J131" s="69" t="s">
        <v>30</v>
      </c>
      <c r="K131" s="69" t="s">
        <v>67</v>
      </c>
      <c r="L131" s="69" t="s">
        <v>40</v>
      </c>
      <c r="M131" s="70">
        <v>45369</v>
      </c>
      <c r="N131" s="69">
        <v>899.99</v>
      </c>
      <c r="O131" s="47">
        <f t="shared" ref="O131:O194" ca="1" si="8">TODAY()-M131</f>
        <v>790</v>
      </c>
      <c r="P131" s="47">
        <f t="shared" ref="P131:P194" ca="1" si="9">TODAY()-B131</f>
        <v>578</v>
      </c>
      <c r="Q131" s="71" t="str">
        <f t="shared" ref="Q131:Q194" si="10">TEXT(B131,"yyyy-mm")</f>
        <v>2024-10</v>
      </c>
      <c r="R131" s="49">
        <f t="shared" ref="R131:R194" si="11">YEAR(B131)*100+MONTH(B131)</f>
        <v>202410</v>
      </c>
    </row>
    <row r="132" spans="1:18" ht="15.75" customHeight="1">
      <c r="A132" s="69" t="s">
        <v>275</v>
      </c>
      <c r="B132" s="70">
        <v>45583</v>
      </c>
      <c r="C132" s="69" t="s">
        <v>230</v>
      </c>
      <c r="D132" s="69" t="s">
        <v>231</v>
      </c>
      <c r="E132" s="69" t="s">
        <v>56</v>
      </c>
      <c r="F132" s="69" t="s">
        <v>57</v>
      </c>
      <c r="G132" s="69" t="s">
        <v>23</v>
      </c>
      <c r="H132" s="69">
        <v>2</v>
      </c>
      <c r="I132" s="69">
        <v>149.99</v>
      </c>
      <c r="J132" s="69" t="s">
        <v>30</v>
      </c>
      <c r="K132" s="69" t="s">
        <v>54</v>
      </c>
      <c r="L132" s="69" t="s">
        <v>26</v>
      </c>
      <c r="M132" s="70">
        <v>44916</v>
      </c>
      <c r="N132" s="69">
        <v>299.98</v>
      </c>
      <c r="O132" s="47">
        <f t="shared" ca="1" si="8"/>
        <v>1243</v>
      </c>
      <c r="P132" s="47">
        <f t="shared" ca="1" si="9"/>
        <v>576</v>
      </c>
      <c r="Q132" s="71" t="str">
        <f t="shared" si="10"/>
        <v>2024-10</v>
      </c>
      <c r="R132" s="49">
        <f t="shared" si="11"/>
        <v>202410</v>
      </c>
    </row>
    <row r="133" spans="1:18" ht="15.75" customHeight="1">
      <c r="A133" s="69" t="s">
        <v>276</v>
      </c>
      <c r="B133" s="70">
        <v>45586</v>
      </c>
      <c r="C133" s="69" t="s">
        <v>230</v>
      </c>
      <c r="D133" s="69" t="s">
        <v>231</v>
      </c>
      <c r="E133" s="69" t="s">
        <v>121</v>
      </c>
      <c r="F133" s="69" t="s">
        <v>122</v>
      </c>
      <c r="G133" s="69" t="s">
        <v>23</v>
      </c>
      <c r="H133" s="69">
        <v>3</v>
      </c>
      <c r="I133" s="69">
        <v>89.99</v>
      </c>
      <c r="J133" s="69" t="s">
        <v>38</v>
      </c>
      <c r="K133" s="69" t="s">
        <v>25</v>
      </c>
      <c r="L133" s="69" t="s">
        <v>26</v>
      </c>
      <c r="M133" s="70">
        <v>44551</v>
      </c>
      <c r="N133" s="69">
        <v>269.97000000000003</v>
      </c>
      <c r="O133" s="47">
        <f t="shared" ca="1" si="8"/>
        <v>1608</v>
      </c>
      <c r="P133" s="47">
        <f t="shared" ca="1" si="9"/>
        <v>573</v>
      </c>
      <c r="Q133" s="71" t="str">
        <f t="shared" si="10"/>
        <v>2024-10</v>
      </c>
      <c r="R133" s="49">
        <f t="shared" si="11"/>
        <v>202410</v>
      </c>
    </row>
    <row r="134" spans="1:18" ht="15.75" customHeight="1">
      <c r="A134" s="69" t="s">
        <v>277</v>
      </c>
      <c r="B134" s="70">
        <v>45588</v>
      </c>
      <c r="C134" s="69" t="s">
        <v>42</v>
      </c>
      <c r="D134" s="69" t="s">
        <v>43</v>
      </c>
      <c r="E134" s="69" t="s">
        <v>56</v>
      </c>
      <c r="F134" s="69" t="s">
        <v>57</v>
      </c>
      <c r="G134" s="69" t="s">
        <v>23</v>
      </c>
      <c r="H134" s="69">
        <v>2</v>
      </c>
      <c r="I134" s="69">
        <v>149.99</v>
      </c>
      <c r="J134" s="69" t="s">
        <v>38</v>
      </c>
      <c r="K134" s="69" t="s">
        <v>25</v>
      </c>
      <c r="L134" s="69" t="s">
        <v>26</v>
      </c>
      <c r="M134" s="70">
        <v>44473</v>
      </c>
      <c r="N134" s="69">
        <v>299.98</v>
      </c>
      <c r="O134" s="47">
        <f t="shared" ca="1" si="8"/>
        <v>1686</v>
      </c>
      <c r="P134" s="47">
        <f t="shared" ca="1" si="9"/>
        <v>571</v>
      </c>
      <c r="Q134" s="71" t="str">
        <f t="shared" si="10"/>
        <v>2024-10</v>
      </c>
      <c r="R134" s="49">
        <f t="shared" si="11"/>
        <v>202410</v>
      </c>
    </row>
    <row r="135" spans="1:18" ht="15.75" customHeight="1">
      <c r="A135" s="69" t="s">
        <v>278</v>
      </c>
      <c r="B135" s="70">
        <v>45588</v>
      </c>
      <c r="C135" s="69" t="s">
        <v>158</v>
      </c>
      <c r="D135" s="69" t="s">
        <v>159</v>
      </c>
      <c r="E135" s="69" t="s">
        <v>84</v>
      </c>
      <c r="F135" s="69" t="s">
        <v>85</v>
      </c>
      <c r="G135" s="69" t="s">
        <v>23</v>
      </c>
      <c r="H135" s="69">
        <v>2</v>
      </c>
      <c r="I135" s="69">
        <v>699.99</v>
      </c>
      <c r="J135" s="69" t="s">
        <v>24</v>
      </c>
      <c r="K135" s="69" t="s">
        <v>25</v>
      </c>
      <c r="L135" s="69" t="s">
        <v>26</v>
      </c>
      <c r="M135" s="70">
        <v>44992</v>
      </c>
      <c r="N135" s="69">
        <v>1399.98</v>
      </c>
      <c r="O135" s="47">
        <f t="shared" ca="1" si="8"/>
        <v>1167</v>
      </c>
      <c r="P135" s="47">
        <f t="shared" ca="1" si="9"/>
        <v>571</v>
      </c>
      <c r="Q135" s="71" t="str">
        <f t="shared" si="10"/>
        <v>2024-10</v>
      </c>
      <c r="R135" s="49">
        <f t="shared" si="11"/>
        <v>202410</v>
      </c>
    </row>
    <row r="136" spans="1:18" ht="15.75" customHeight="1">
      <c r="A136" s="69" t="s">
        <v>279</v>
      </c>
      <c r="B136" s="70">
        <v>45589</v>
      </c>
      <c r="C136" s="69" t="s">
        <v>162</v>
      </c>
      <c r="D136" s="69" t="s">
        <v>163</v>
      </c>
      <c r="E136" s="69" t="s">
        <v>84</v>
      </c>
      <c r="F136" s="69" t="s">
        <v>85</v>
      </c>
      <c r="G136" s="69" t="s">
        <v>23</v>
      </c>
      <c r="H136" s="69">
        <v>5</v>
      </c>
      <c r="I136" s="69">
        <v>699.99</v>
      </c>
      <c r="J136" s="69" t="s">
        <v>24</v>
      </c>
      <c r="K136" s="69" t="s">
        <v>44</v>
      </c>
      <c r="L136" s="69" t="s">
        <v>31</v>
      </c>
      <c r="M136" s="70">
        <v>44635</v>
      </c>
      <c r="N136" s="69">
        <v>3499.95</v>
      </c>
      <c r="O136" s="47">
        <f t="shared" ca="1" si="8"/>
        <v>1524</v>
      </c>
      <c r="P136" s="47">
        <f t="shared" ca="1" si="9"/>
        <v>570</v>
      </c>
      <c r="Q136" s="71" t="str">
        <f t="shared" si="10"/>
        <v>2024-10</v>
      </c>
      <c r="R136" s="49">
        <f t="shared" si="11"/>
        <v>202410</v>
      </c>
    </row>
    <row r="137" spans="1:18" ht="15.75" customHeight="1">
      <c r="A137" s="69" t="s">
        <v>280</v>
      </c>
      <c r="B137" s="70">
        <v>45592</v>
      </c>
      <c r="C137" s="69" t="s">
        <v>175</v>
      </c>
      <c r="D137" s="69" t="s">
        <v>176</v>
      </c>
      <c r="E137" s="69" t="s">
        <v>121</v>
      </c>
      <c r="F137" s="69" t="s">
        <v>122</v>
      </c>
      <c r="G137" s="69" t="s">
        <v>23</v>
      </c>
      <c r="H137" s="69">
        <v>3</v>
      </c>
      <c r="I137" s="69">
        <v>89.99</v>
      </c>
      <c r="J137" s="69" t="s">
        <v>30</v>
      </c>
      <c r="K137" s="69" t="s">
        <v>44</v>
      </c>
      <c r="L137" s="69" t="s">
        <v>40</v>
      </c>
      <c r="M137" s="70">
        <v>44615</v>
      </c>
      <c r="N137" s="69">
        <v>269.97000000000003</v>
      </c>
      <c r="O137" s="47">
        <f t="shared" ca="1" si="8"/>
        <v>1544</v>
      </c>
      <c r="P137" s="47">
        <f t="shared" ca="1" si="9"/>
        <v>567</v>
      </c>
      <c r="Q137" s="71" t="str">
        <f t="shared" si="10"/>
        <v>2024-10</v>
      </c>
      <c r="R137" s="49">
        <f t="shared" si="11"/>
        <v>202410</v>
      </c>
    </row>
    <row r="138" spans="1:18" ht="15.75" customHeight="1">
      <c r="A138" s="69" t="s">
        <v>281</v>
      </c>
      <c r="B138" s="70">
        <v>45597</v>
      </c>
      <c r="C138" s="69" t="s">
        <v>19</v>
      </c>
      <c r="D138" s="69" t="s">
        <v>20</v>
      </c>
      <c r="E138" s="69" t="s">
        <v>21</v>
      </c>
      <c r="F138" s="69" t="s">
        <v>22</v>
      </c>
      <c r="G138" s="69" t="s">
        <v>23</v>
      </c>
      <c r="H138" s="69">
        <v>5</v>
      </c>
      <c r="I138" s="69">
        <v>249.99</v>
      </c>
      <c r="J138" s="69" t="s">
        <v>30</v>
      </c>
      <c r="K138" s="69" t="s">
        <v>39</v>
      </c>
      <c r="L138" s="69" t="s">
        <v>40</v>
      </c>
      <c r="M138" s="70">
        <v>44881</v>
      </c>
      <c r="N138" s="69">
        <v>1249.95</v>
      </c>
      <c r="O138" s="47">
        <f t="shared" ca="1" si="8"/>
        <v>1278</v>
      </c>
      <c r="P138" s="47">
        <f t="shared" ca="1" si="9"/>
        <v>562</v>
      </c>
      <c r="Q138" s="71" t="str">
        <f t="shared" si="10"/>
        <v>2024-11</v>
      </c>
      <c r="R138" s="49">
        <f t="shared" si="11"/>
        <v>202411</v>
      </c>
    </row>
    <row r="139" spans="1:18" ht="15.75" customHeight="1">
      <c r="A139" s="69" t="s">
        <v>282</v>
      </c>
      <c r="B139" s="70">
        <v>45600</v>
      </c>
      <c r="C139" s="69" t="s">
        <v>69</v>
      </c>
      <c r="D139" s="69" t="s">
        <v>70</v>
      </c>
      <c r="E139" s="69" t="s">
        <v>109</v>
      </c>
      <c r="F139" s="69" t="s">
        <v>110</v>
      </c>
      <c r="G139" s="69" t="s">
        <v>50</v>
      </c>
      <c r="H139" s="69">
        <v>3</v>
      </c>
      <c r="I139" s="69">
        <v>299.99</v>
      </c>
      <c r="J139" s="69" t="s">
        <v>30</v>
      </c>
      <c r="K139" s="69" t="s">
        <v>39</v>
      </c>
      <c r="L139" s="69" t="s">
        <v>40</v>
      </c>
      <c r="M139" s="70">
        <v>44502</v>
      </c>
      <c r="N139" s="69">
        <v>899.97</v>
      </c>
      <c r="O139" s="47">
        <f t="shared" ca="1" si="8"/>
        <v>1657</v>
      </c>
      <c r="P139" s="47">
        <f t="shared" ca="1" si="9"/>
        <v>559</v>
      </c>
      <c r="Q139" s="71" t="str">
        <f t="shared" si="10"/>
        <v>2024-11</v>
      </c>
      <c r="R139" s="49">
        <f t="shared" si="11"/>
        <v>202411</v>
      </c>
    </row>
    <row r="140" spans="1:18" ht="15.75" customHeight="1">
      <c r="A140" s="69" t="s">
        <v>283</v>
      </c>
      <c r="B140" s="70">
        <v>45603</v>
      </c>
      <c r="C140" s="69" t="s">
        <v>103</v>
      </c>
      <c r="D140" s="69" t="s">
        <v>104</v>
      </c>
      <c r="E140" s="69" t="s">
        <v>121</v>
      </c>
      <c r="F140" s="69" t="s">
        <v>122</v>
      </c>
      <c r="G140" s="69" t="s">
        <v>23</v>
      </c>
      <c r="H140" s="69">
        <v>3</v>
      </c>
      <c r="I140" s="69">
        <v>89.99</v>
      </c>
      <c r="J140" s="69" t="s">
        <v>30</v>
      </c>
      <c r="K140" s="69" t="s">
        <v>44</v>
      </c>
      <c r="L140" s="69" t="s">
        <v>31</v>
      </c>
      <c r="M140" s="70">
        <v>44420</v>
      </c>
      <c r="N140" s="69">
        <v>269.97000000000003</v>
      </c>
      <c r="O140" s="47">
        <f t="shared" ca="1" si="8"/>
        <v>1739</v>
      </c>
      <c r="P140" s="47">
        <f t="shared" ca="1" si="9"/>
        <v>556</v>
      </c>
      <c r="Q140" s="71" t="str">
        <f t="shared" si="10"/>
        <v>2024-11</v>
      </c>
      <c r="R140" s="49">
        <f t="shared" si="11"/>
        <v>202411</v>
      </c>
    </row>
    <row r="141" spans="1:18" ht="15.75" customHeight="1">
      <c r="A141" s="69" t="s">
        <v>284</v>
      </c>
      <c r="B141" s="70">
        <v>45604</v>
      </c>
      <c r="C141" s="69" t="s">
        <v>93</v>
      </c>
      <c r="D141" s="69" t="s">
        <v>94</v>
      </c>
      <c r="E141" s="69" t="s">
        <v>48</v>
      </c>
      <c r="F141" s="69" t="s">
        <v>49</v>
      </c>
      <c r="G141" s="69" t="s">
        <v>50</v>
      </c>
      <c r="H141" s="69">
        <v>2</v>
      </c>
      <c r="I141" s="69">
        <v>149.99</v>
      </c>
      <c r="J141" s="69" t="s">
        <v>30</v>
      </c>
      <c r="K141" s="69" t="s">
        <v>54</v>
      </c>
      <c r="L141" s="69" t="s">
        <v>31</v>
      </c>
      <c r="M141" s="70">
        <v>44848</v>
      </c>
      <c r="N141" s="69">
        <v>299.98</v>
      </c>
      <c r="O141" s="47">
        <f t="shared" ca="1" si="8"/>
        <v>1311</v>
      </c>
      <c r="P141" s="47">
        <f t="shared" ca="1" si="9"/>
        <v>555</v>
      </c>
      <c r="Q141" s="71" t="str">
        <f t="shared" si="10"/>
        <v>2024-11</v>
      </c>
      <c r="R141" s="49">
        <f t="shared" si="11"/>
        <v>202411</v>
      </c>
    </row>
    <row r="142" spans="1:18" ht="15.75" customHeight="1">
      <c r="A142" s="69" t="s">
        <v>285</v>
      </c>
      <c r="B142" s="70">
        <v>45605</v>
      </c>
      <c r="C142" s="69" t="s">
        <v>189</v>
      </c>
      <c r="D142" s="69" t="s">
        <v>190</v>
      </c>
      <c r="E142" s="69" t="s">
        <v>21</v>
      </c>
      <c r="F142" s="69" t="s">
        <v>22</v>
      </c>
      <c r="G142" s="69" t="s">
        <v>23</v>
      </c>
      <c r="H142" s="69">
        <v>1</v>
      </c>
      <c r="I142" s="69">
        <v>249.99</v>
      </c>
      <c r="J142" s="69" t="s">
        <v>30</v>
      </c>
      <c r="K142" s="69" t="s">
        <v>44</v>
      </c>
      <c r="L142" s="69" t="s">
        <v>31</v>
      </c>
      <c r="M142" s="70">
        <v>44828</v>
      </c>
      <c r="N142" s="69">
        <v>249.99</v>
      </c>
      <c r="O142" s="47">
        <f t="shared" ca="1" si="8"/>
        <v>1331</v>
      </c>
      <c r="P142" s="47">
        <f t="shared" ca="1" si="9"/>
        <v>554</v>
      </c>
      <c r="Q142" s="71" t="str">
        <f t="shared" si="10"/>
        <v>2024-11</v>
      </c>
      <c r="R142" s="49">
        <f t="shared" si="11"/>
        <v>202411</v>
      </c>
    </row>
    <row r="143" spans="1:18" ht="15.75" customHeight="1">
      <c r="A143" s="69" t="s">
        <v>286</v>
      </c>
      <c r="B143" s="70">
        <v>45607</v>
      </c>
      <c r="C143" s="69" t="s">
        <v>76</v>
      </c>
      <c r="D143" s="69" t="s">
        <v>77</v>
      </c>
      <c r="E143" s="69" t="s">
        <v>56</v>
      </c>
      <c r="F143" s="69" t="s">
        <v>57</v>
      </c>
      <c r="G143" s="69" t="s">
        <v>23</v>
      </c>
      <c r="H143" s="69">
        <v>3</v>
      </c>
      <c r="I143" s="69">
        <v>149.99</v>
      </c>
      <c r="J143" s="69" t="s">
        <v>24</v>
      </c>
      <c r="K143" s="69" t="s">
        <v>44</v>
      </c>
      <c r="L143" s="69" t="s">
        <v>26</v>
      </c>
      <c r="M143" s="70">
        <v>44769</v>
      </c>
      <c r="N143" s="69">
        <v>449.97</v>
      </c>
      <c r="O143" s="47">
        <f t="shared" ca="1" si="8"/>
        <v>1390</v>
      </c>
      <c r="P143" s="47">
        <f t="shared" ca="1" si="9"/>
        <v>552</v>
      </c>
      <c r="Q143" s="71" t="str">
        <f t="shared" si="10"/>
        <v>2024-11</v>
      </c>
      <c r="R143" s="49">
        <f t="shared" si="11"/>
        <v>202411</v>
      </c>
    </row>
    <row r="144" spans="1:18" ht="15.75" customHeight="1">
      <c r="A144" s="69" t="s">
        <v>287</v>
      </c>
      <c r="B144" s="70">
        <v>45607</v>
      </c>
      <c r="C144" s="69" t="s">
        <v>19</v>
      </c>
      <c r="D144" s="69" t="s">
        <v>20</v>
      </c>
      <c r="E144" s="69" t="s">
        <v>35</v>
      </c>
      <c r="F144" s="69" t="s">
        <v>36</v>
      </c>
      <c r="G144" s="69" t="s">
        <v>37</v>
      </c>
      <c r="H144" s="69">
        <v>5</v>
      </c>
      <c r="I144" s="69">
        <v>59.99</v>
      </c>
      <c r="J144" s="69" t="s">
        <v>38</v>
      </c>
      <c r="K144" s="69" t="s">
        <v>54</v>
      </c>
      <c r="L144" s="69" t="s">
        <v>31</v>
      </c>
      <c r="M144" s="70">
        <v>44694</v>
      </c>
      <c r="N144" s="69">
        <v>299.95</v>
      </c>
      <c r="O144" s="47">
        <f t="shared" ca="1" si="8"/>
        <v>1465</v>
      </c>
      <c r="P144" s="47">
        <f t="shared" ca="1" si="9"/>
        <v>552</v>
      </c>
      <c r="Q144" s="71" t="str">
        <f t="shared" si="10"/>
        <v>2024-11</v>
      </c>
      <c r="R144" s="49">
        <f t="shared" si="11"/>
        <v>202411</v>
      </c>
    </row>
    <row r="145" spans="1:18" ht="15.75" customHeight="1">
      <c r="A145" s="69" t="s">
        <v>288</v>
      </c>
      <c r="B145" s="70">
        <v>45607</v>
      </c>
      <c r="C145" s="69" t="s">
        <v>103</v>
      </c>
      <c r="D145" s="69" t="s">
        <v>104</v>
      </c>
      <c r="E145" s="69" t="s">
        <v>21</v>
      </c>
      <c r="F145" s="69" t="s">
        <v>22</v>
      </c>
      <c r="G145" s="69" t="s">
        <v>23</v>
      </c>
      <c r="H145" s="69">
        <v>4</v>
      </c>
      <c r="I145" s="69">
        <v>249.99</v>
      </c>
      <c r="J145" s="69" t="s">
        <v>30</v>
      </c>
      <c r="K145" s="69" t="s">
        <v>54</v>
      </c>
      <c r="L145" s="69" t="s">
        <v>40</v>
      </c>
      <c r="M145" s="70">
        <v>44659</v>
      </c>
      <c r="N145" s="69">
        <v>999.96</v>
      </c>
      <c r="O145" s="47">
        <f t="shared" ca="1" si="8"/>
        <v>1500</v>
      </c>
      <c r="P145" s="47">
        <f t="shared" ca="1" si="9"/>
        <v>552</v>
      </c>
      <c r="Q145" s="71" t="str">
        <f t="shared" si="10"/>
        <v>2024-11</v>
      </c>
      <c r="R145" s="49">
        <f t="shared" si="11"/>
        <v>202411</v>
      </c>
    </row>
    <row r="146" spans="1:18" ht="15.75" customHeight="1">
      <c r="A146" s="69" t="s">
        <v>289</v>
      </c>
      <c r="B146" s="70">
        <v>45608</v>
      </c>
      <c r="C146" s="69" t="s">
        <v>158</v>
      </c>
      <c r="D146" s="69" t="s">
        <v>159</v>
      </c>
      <c r="E146" s="69" t="s">
        <v>48</v>
      </c>
      <c r="F146" s="69" t="s">
        <v>49</v>
      </c>
      <c r="G146" s="69" t="s">
        <v>50</v>
      </c>
      <c r="H146" s="69">
        <v>5</v>
      </c>
      <c r="I146" s="69">
        <v>149.99</v>
      </c>
      <c r="J146" s="69" t="s">
        <v>38</v>
      </c>
      <c r="K146" s="69" t="s">
        <v>25</v>
      </c>
      <c r="L146" s="69" t="s">
        <v>26</v>
      </c>
      <c r="M146" s="70">
        <v>44901</v>
      </c>
      <c r="N146" s="69">
        <v>749.95</v>
      </c>
      <c r="O146" s="47">
        <f t="shared" ca="1" si="8"/>
        <v>1258</v>
      </c>
      <c r="P146" s="47">
        <f t="shared" ca="1" si="9"/>
        <v>551</v>
      </c>
      <c r="Q146" s="71" t="str">
        <f t="shared" si="10"/>
        <v>2024-11</v>
      </c>
      <c r="R146" s="49">
        <f t="shared" si="11"/>
        <v>202411</v>
      </c>
    </row>
    <row r="147" spans="1:18" ht="15.75" customHeight="1">
      <c r="A147" s="69" t="s">
        <v>290</v>
      </c>
      <c r="B147" s="70">
        <v>45608</v>
      </c>
      <c r="C147" s="69" t="s">
        <v>87</v>
      </c>
      <c r="D147" s="69" t="s">
        <v>88</v>
      </c>
      <c r="E147" s="69" t="s">
        <v>35</v>
      </c>
      <c r="F147" s="69" t="s">
        <v>36</v>
      </c>
      <c r="G147" s="69" t="s">
        <v>37</v>
      </c>
      <c r="H147" s="69">
        <v>3</v>
      </c>
      <c r="I147" s="69">
        <v>59.99</v>
      </c>
      <c r="J147" s="69" t="s">
        <v>61</v>
      </c>
      <c r="K147" s="69" t="s">
        <v>39</v>
      </c>
      <c r="L147" s="69" t="s">
        <v>40</v>
      </c>
      <c r="M147" s="70">
        <v>45260</v>
      </c>
      <c r="N147" s="69">
        <v>179.97</v>
      </c>
      <c r="O147" s="47">
        <f t="shared" ca="1" si="8"/>
        <v>899</v>
      </c>
      <c r="P147" s="47">
        <f t="shared" ca="1" si="9"/>
        <v>551</v>
      </c>
      <c r="Q147" s="71" t="str">
        <f t="shared" si="10"/>
        <v>2024-11</v>
      </c>
      <c r="R147" s="49">
        <f t="shared" si="11"/>
        <v>202411</v>
      </c>
    </row>
    <row r="148" spans="1:18" ht="15.75" customHeight="1">
      <c r="A148" s="69" t="s">
        <v>291</v>
      </c>
      <c r="B148" s="70">
        <v>45613</v>
      </c>
      <c r="C148" s="69" t="s">
        <v>238</v>
      </c>
      <c r="D148" s="69" t="s">
        <v>239</v>
      </c>
      <c r="E148" s="69" t="s">
        <v>48</v>
      </c>
      <c r="F148" s="69" t="s">
        <v>49</v>
      </c>
      <c r="G148" s="69" t="s">
        <v>50</v>
      </c>
      <c r="H148" s="69">
        <v>5</v>
      </c>
      <c r="I148" s="69">
        <v>149.99</v>
      </c>
      <c r="J148" s="69" t="s">
        <v>24</v>
      </c>
      <c r="K148" s="69" t="s">
        <v>44</v>
      </c>
      <c r="L148" s="69" t="s">
        <v>26</v>
      </c>
      <c r="M148" s="70">
        <v>44869</v>
      </c>
      <c r="N148" s="69">
        <v>749.95</v>
      </c>
      <c r="O148" s="47">
        <f t="shared" ca="1" si="8"/>
        <v>1290</v>
      </c>
      <c r="P148" s="47">
        <f t="shared" ca="1" si="9"/>
        <v>546</v>
      </c>
      <c r="Q148" s="71" t="str">
        <f t="shared" si="10"/>
        <v>2024-11</v>
      </c>
      <c r="R148" s="49">
        <f t="shared" si="11"/>
        <v>202411</v>
      </c>
    </row>
    <row r="149" spans="1:18" ht="15.75" customHeight="1">
      <c r="A149" s="69" t="s">
        <v>292</v>
      </c>
      <c r="B149" s="70">
        <v>45613</v>
      </c>
      <c r="C149" s="69" t="s">
        <v>90</v>
      </c>
      <c r="D149" s="69" t="s">
        <v>91</v>
      </c>
      <c r="E149" s="69" t="s">
        <v>84</v>
      </c>
      <c r="F149" s="69" t="s">
        <v>85</v>
      </c>
      <c r="G149" s="69" t="s">
        <v>23</v>
      </c>
      <c r="H149" s="69">
        <v>2</v>
      </c>
      <c r="I149" s="69">
        <v>699.99</v>
      </c>
      <c r="J149" s="69" t="s">
        <v>38</v>
      </c>
      <c r="K149" s="69" t="s">
        <v>54</v>
      </c>
      <c r="L149" s="69" t="s">
        <v>40</v>
      </c>
      <c r="M149" s="70">
        <v>44770</v>
      </c>
      <c r="N149" s="69">
        <v>1399.98</v>
      </c>
      <c r="O149" s="47">
        <f t="shared" ca="1" si="8"/>
        <v>1389</v>
      </c>
      <c r="P149" s="47">
        <f t="shared" ca="1" si="9"/>
        <v>546</v>
      </c>
      <c r="Q149" s="71" t="str">
        <f t="shared" si="10"/>
        <v>2024-11</v>
      </c>
      <c r="R149" s="49">
        <f t="shared" si="11"/>
        <v>202411</v>
      </c>
    </row>
    <row r="150" spans="1:18" ht="15.75" customHeight="1">
      <c r="A150" s="69" t="s">
        <v>293</v>
      </c>
      <c r="B150" s="70">
        <v>45617</v>
      </c>
      <c r="C150" s="69" t="s">
        <v>127</v>
      </c>
      <c r="D150" s="69" t="s">
        <v>128</v>
      </c>
      <c r="E150" s="69" t="s">
        <v>130</v>
      </c>
      <c r="F150" s="69" t="s">
        <v>131</v>
      </c>
      <c r="G150" s="69" t="s">
        <v>50</v>
      </c>
      <c r="H150" s="69">
        <v>4</v>
      </c>
      <c r="I150" s="69">
        <v>199.99</v>
      </c>
      <c r="J150" s="69" t="s">
        <v>61</v>
      </c>
      <c r="K150" s="69" t="s">
        <v>25</v>
      </c>
      <c r="L150" s="69" t="s">
        <v>31</v>
      </c>
      <c r="M150" s="70">
        <v>44427</v>
      </c>
      <c r="N150" s="69">
        <v>799.96</v>
      </c>
      <c r="O150" s="47">
        <f t="shared" ca="1" si="8"/>
        <v>1732</v>
      </c>
      <c r="P150" s="47">
        <f t="shared" ca="1" si="9"/>
        <v>542</v>
      </c>
      <c r="Q150" s="71" t="str">
        <f t="shared" si="10"/>
        <v>2024-11</v>
      </c>
      <c r="R150" s="49">
        <f t="shared" si="11"/>
        <v>202411</v>
      </c>
    </row>
    <row r="151" spans="1:18" ht="15.75" customHeight="1">
      <c r="A151" s="69" t="s">
        <v>294</v>
      </c>
      <c r="B151" s="70">
        <v>45619</v>
      </c>
      <c r="C151" s="69" t="s">
        <v>196</v>
      </c>
      <c r="D151" s="69" t="s">
        <v>197</v>
      </c>
      <c r="E151" s="69" t="s">
        <v>35</v>
      </c>
      <c r="F151" s="69" t="s">
        <v>36</v>
      </c>
      <c r="G151" s="69" t="s">
        <v>37</v>
      </c>
      <c r="H151" s="69">
        <v>1</v>
      </c>
      <c r="I151" s="69">
        <v>59.99</v>
      </c>
      <c r="J151" s="69" t="s">
        <v>61</v>
      </c>
      <c r="K151" s="69" t="s">
        <v>54</v>
      </c>
      <c r="L151" s="69" t="s">
        <v>40</v>
      </c>
      <c r="M151" s="70">
        <v>44560</v>
      </c>
      <c r="N151" s="69">
        <v>59.99</v>
      </c>
      <c r="O151" s="47">
        <f t="shared" ca="1" si="8"/>
        <v>1599</v>
      </c>
      <c r="P151" s="47">
        <f t="shared" ca="1" si="9"/>
        <v>540</v>
      </c>
      <c r="Q151" s="71" t="str">
        <f t="shared" si="10"/>
        <v>2024-11</v>
      </c>
      <c r="R151" s="49">
        <f t="shared" si="11"/>
        <v>202411</v>
      </c>
    </row>
    <row r="152" spans="1:18" ht="15.75" customHeight="1">
      <c r="A152" s="69" t="s">
        <v>295</v>
      </c>
      <c r="B152" s="70">
        <v>45619</v>
      </c>
      <c r="C152" s="69" t="s">
        <v>158</v>
      </c>
      <c r="D152" s="69" t="s">
        <v>159</v>
      </c>
      <c r="E152" s="69" t="s">
        <v>84</v>
      </c>
      <c r="F152" s="69" t="s">
        <v>85</v>
      </c>
      <c r="G152" s="69" t="s">
        <v>23</v>
      </c>
      <c r="H152" s="69">
        <v>3</v>
      </c>
      <c r="I152" s="69">
        <v>699.99</v>
      </c>
      <c r="J152" s="69" t="s">
        <v>38</v>
      </c>
      <c r="K152" s="69" t="s">
        <v>54</v>
      </c>
      <c r="L152" s="69" t="s">
        <v>40</v>
      </c>
      <c r="M152" s="70">
        <v>44583</v>
      </c>
      <c r="N152" s="69">
        <v>2099.9699999999998</v>
      </c>
      <c r="O152" s="47">
        <f t="shared" ca="1" si="8"/>
        <v>1576</v>
      </c>
      <c r="P152" s="47">
        <f t="shared" ca="1" si="9"/>
        <v>540</v>
      </c>
      <c r="Q152" s="71" t="str">
        <f t="shared" si="10"/>
        <v>2024-11</v>
      </c>
      <c r="R152" s="49">
        <f t="shared" si="11"/>
        <v>202411</v>
      </c>
    </row>
    <row r="153" spans="1:18" ht="15.75" customHeight="1">
      <c r="A153" s="69" t="s">
        <v>296</v>
      </c>
      <c r="B153" s="70">
        <v>45622</v>
      </c>
      <c r="C153" s="69" t="s">
        <v>297</v>
      </c>
      <c r="D153" s="69" t="s">
        <v>298</v>
      </c>
      <c r="E153" s="69" t="s">
        <v>21</v>
      </c>
      <c r="F153" s="69" t="s">
        <v>22</v>
      </c>
      <c r="G153" s="69" t="s">
        <v>23</v>
      </c>
      <c r="H153" s="69">
        <v>5</v>
      </c>
      <c r="I153" s="69">
        <v>249.99</v>
      </c>
      <c r="J153" s="69" t="s">
        <v>30</v>
      </c>
      <c r="K153" s="69" t="s">
        <v>44</v>
      </c>
      <c r="L153" s="69" t="s">
        <v>26</v>
      </c>
      <c r="M153" s="70">
        <v>44873</v>
      </c>
      <c r="N153" s="69">
        <v>1249.95</v>
      </c>
      <c r="O153" s="47">
        <f t="shared" ca="1" si="8"/>
        <v>1286</v>
      </c>
      <c r="P153" s="47">
        <f t="shared" ca="1" si="9"/>
        <v>537</v>
      </c>
      <c r="Q153" s="71" t="str">
        <f t="shared" si="10"/>
        <v>2024-11</v>
      </c>
      <c r="R153" s="49">
        <f t="shared" si="11"/>
        <v>202411</v>
      </c>
    </row>
    <row r="154" spans="1:18" ht="15.75" customHeight="1">
      <c r="A154" s="69" t="s">
        <v>299</v>
      </c>
      <c r="B154" s="70">
        <v>45623</v>
      </c>
      <c r="C154" s="69" t="s">
        <v>116</v>
      </c>
      <c r="D154" s="69" t="s">
        <v>117</v>
      </c>
      <c r="E154" s="69" t="s">
        <v>48</v>
      </c>
      <c r="F154" s="69" t="s">
        <v>49</v>
      </c>
      <c r="G154" s="69" t="s">
        <v>50</v>
      </c>
      <c r="H154" s="69">
        <v>2</v>
      </c>
      <c r="I154" s="69">
        <v>149.99</v>
      </c>
      <c r="J154" s="69" t="s">
        <v>24</v>
      </c>
      <c r="K154" s="69" t="s">
        <v>39</v>
      </c>
      <c r="L154" s="69" t="s">
        <v>40</v>
      </c>
      <c r="M154" s="70">
        <v>45101</v>
      </c>
      <c r="N154" s="69">
        <v>299.98</v>
      </c>
      <c r="O154" s="47">
        <f t="shared" ca="1" si="8"/>
        <v>1058</v>
      </c>
      <c r="P154" s="47">
        <f t="shared" ca="1" si="9"/>
        <v>536</v>
      </c>
      <c r="Q154" s="71" t="str">
        <f t="shared" si="10"/>
        <v>2024-11</v>
      </c>
      <c r="R154" s="49">
        <f t="shared" si="11"/>
        <v>202411</v>
      </c>
    </row>
    <row r="155" spans="1:18" ht="15.75" customHeight="1">
      <c r="A155" s="69" t="s">
        <v>300</v>
      </c>
      <c r="B155" s="70">
        <v>45627</v>
      </c>
      <c r="C155" s="69" t="s">
        <v>33</v>
      </c>
      <c r="D155" s="69" t="s">
        <v>34</v>
      </c>
      <c r="E155" s="69" t="s">
        <v>109</v>
      </c>
      <c r="F155" s="69" t="s">
        <v>110</v>
      </c>
      <c r="G155" s="69" t="s">
        <v>50</v>
      </c>
      <c r="H155" s="69">
        <v>3</v>
      </c>
      <c r="I155" s="69">
        <v>299.99</v>
      </c>
      <c r="J155" s="69" t="s">
        <v>24</v>
      </c>
      <c r="K155" s="69" t="s">
        <v>39</v>
      </c>
      <c r="L155" s="69" t="s">
        <v>31</v>
      </c>
      <c r="M155" s="70">
        <v>44659</v>
      </c>
      <c r="N155" s="69">
        <v>899.97</v>
      </c>
      <c r="O155" s="47">
        <f t="shared" ca="1" si="8"/>
        <v>1500</v>
      </c>
      <c r="P155" s="47">
        <f t="shared" ca="1" si="9"/>
        <v>532</v>
      </c>
      <c r="Q155" s="71" t="str">
        <f t="shared" si="10"/>
        <v>2024-12</v>
      </c>
      <c r="R155" s="49">
        <f t="shared" si="11"/>
        <v>202412</v>
      </c>
    </row>
    <row r="156" spans="1:18" ht="15.75" customHeight="1">
      <c r="A156" s="69" t="s">
        <v>301</v>
      </c>
      <c r="B156" s="70">
        <v>45627</v>
      </c>
      <c r="C156" s="69" t="s">
        <v>59</v>
      </c>
      <c r="D156" s="69" t="s">
        <v>60</v>
      </c>
      <c r="E156" s="69" t="s">
        <v>21</v>
      </c>
      <c r="F156" s="69" t="s">
        <v>22</v>
      </c>
      <c r="G156" s="69" t="s">
        <v>23</v>
      </c>
      <c r="H156" s="69">
        <v>5</v>
      </c>
      <c r="I156" s="69">
        <v>249.99</v>
      </c>
      <c r="J156" s="69" t="s">
        <v>24</v>
      </c>
      <c r="K156" s="69" t="s">
        <v>25</v>
      </c>
      <c r="L156" s="69" t="s">
        <v>31</v>
      </c>
      <c r="M156" s="70">
        <v>44485</v>
      </c>
      <c r="N156" s="69">
        <v>1249.95</v>
      </c>
      <c r="O156" s="47">
        <f t="shared" ca="1" si="8"/>
        <v>1674</v>
      </c>
      <c r="P156" s="47">
        <f t="shared" ca="1" si="9"/>
        <v>532</v>
      </c>
      <c r="Q156" s="71" t="str">
        <f t="shared" si="10"/>
        <v>2024-12</v>
      </c>
      <c r="R156" s="49">
        <f t="shared" si="11"/>
        <v>202412</v>
      </c>
    </row>
    <row r="157" spans="1:18" ht="15.75" customHeight="1">
      <c r="A157" s="69" t="s">
        <v>302</v>
      </c>
      <c r="B157" s="70">
        <v>45627</v>
      </c>
      <c r="C157" s="69" t="s">
        <v>28</v>
      </c>
      <c r="D157" s="69" t="s">
        <v>29</v>
      </c>
      <c r="E157" s="69" t="s">
        <v>56</v>
      </c>
      <c r="F157" s="69" t="s">
        <v>57</v>
      </c>
      <c r="G157" s="69" t="s">
        <v>23</v>
      </c>
      <c r="H157" s="69">
        <v>2</v>
      </c>
      <c r="I157" s="69">
        <v>149.99</v>
      </c>
      <c r="J157" s="69" t="s">
        <v>24</v>
      </c>
      <c r="K157" s="69" t="s">
        <v>39</v>
      </c>
      <c r="L157" s="69" t="s">
        <v>31</v>
      </c>
      <c r="M157" s="70">
        <v>44475</v>
      </c>
      <c r="N157" s="69">
        <v>299.98</v>
      </c>
      <c r="O157" s="47">
        <f t="shared" ca="1" si="8"/>
        <v>1684</v>
      </c>
      <c r="P157" s="47">
        <f t="shared" ca="1" si="9"/>
        <v>532</v>
      </c>
      <c r="Q157" s="71" t="str">
        <f t="shared" si="10"/>
        <v>2024-12</v>
      </c>
      <c r="R157" s="49">
        <f t="shared" si="11"/>
        <v>202412</v>
      </c>
    </row>
    <row r="158" spans="1:18" ht="15.75" customHeight="1">
      <c r="A158" s="69" t="s">
        <v>303</v>
      </c>
      <c r="B158" s="70">
        <v>45627</v>
      </c>
      <c r="C158" s="69" t="s">
        <v>90</v>
      </c>
      <c r="D158" s="69" t="s">
        <v>91</v>
      </c>
      <c r="E158" s="69" t="s">
        <v>84</v>
      </c>
      <c r="F158" s="69" t="s">
        <v>85</v>
      </c>
      <c r="G158" s="69" t="s">
        <v>23</v>
      </c>
      <c r="H158" s="69">
        <v>5</v>
      </c>
      <c r="I158" s="69">
        <v>699.99</v>
      </c>
      <c r="J158" s="69" t="s">
        <v>61</v>
      </c>
      <c r="K158" s="69" t="s">
        <v>54</v>
      </c>
      <c r="L158" s="69" t="s">
        <v>40</v>
      </c>
      <c r="M158" s="70">
        <v>44944</v>
      </c>
      <c r="N158" s="69">
        <v>3499.95</v>
      </c>
      <c r="O158" s="47">
        <f t="shared" ca="1" si="8"/>
        <v>1215</v>
      </c>
      <c r="P158" s="47">
        <f t="shared" ca="1" si="9"/>
        <v>532</v>
      </c>
      <c r="Q158" s="71" t="str">
        <f t="shared" si="10"/>
        <v>2024-12</v>
      </c>
      <c r="R158" s="49">
        <f t="shared" si="11"/>
        <v>202412</v>
      </c>
    </row>
    <row r="159" spans="1:18" ht="15.75" customHeight="1">
      <c r="A159" s="69" t="s">
        <v>304</v>
      </c>
      <c r="B159" s="70">
        <v>45629</v>
      </c>
      <c r="C159" s="69" t="s">
        <v>256</v>
      </c>
      <c r="D159" s="69" t="s">
        <v>257</v>
      </c>
      <c r="E159" s="69" t="s">
        <v>21</v>
      </c>
      <c r="F159" s="69" t="s">
        <v>22</v>
      </c>
      <c r="G159" s="69" t="s">
        <v>23</v>
      </c>
      <c r="H159" s="69">
        <v>4</v>
      </c>
      <c r="I159" s="69">
        <v>249.99</v>
      </c>
      <c r="J159" s="69" t="s">
        <v>38</v>
      </c>
      <c r="K159" s="69" t="s">
        <v>67</v>
      </c>
      <c r="L159" s="69" t="s">
        <v>31</v>
      </c>
      <c r="M159" s="70">
        <v>45098</v>
      </c>
      <c r="N159" s="69">
        <v>999.96</v>
      </c>
      <c r="O159" s="47">
        <f t="shared" ca="1" si="8"/>
        <v>1061</v>
      </c>
      <c r="P159" s="47">
        <f t="shared" ca="1" si="9"/>
        <v>530</v>
      </c>
      <c r="Q159" s="71" t="str">
        <f t="shared" si="10"/>
        <v>2024-12</v>
      </c>
      <c r="R159" s="49">
        <f t="shared" si="11"/>
        <v>202412</v>
      </c>
    </row>
    <row r="160" spans="1:18" ht="15.75" customHeight="1">
      <c r="A160" s="69" t="s">
        <v>305</v>
      </c>
      <c r="B160" s="70">
        <v>45630</v>
      </c>
      <c r="C160" s="69" t="s">
        <v>52</v>
      </c>
      <c r="D160" s="69" t="s">
        <v>53</v>
      </c>
      <c r="E160" s="69" t="s">
        <v>84</v>
      </c>
      <c r="F160" s="69" t="s">
        <v>85</v>
      </c>
      <c r="G160" s="69" t="s">
        <v>23</v>
      </c>
      <c r="H160" s="69">
        <v>4</v>
      </c>
      <c r="I160" s="69">
        <v>699.99</v>
      </c>
      <c r="J160" s="69" t="s">
        <v>30</v>
      </c>
      <c r="K160" s="69" t="s">
        <v>44</v>
      </c>
      <c r="L160" s="69" t="s">
        <v>31</v>
      </c>
      <c r="M160" s="70">
        <v>44703</v>
      </c>
      <c r="N160" s="69">
        <v>2799.96</v>
      </c>
      <c r="O160" s="47">
        <f t="shared" ca="1" si="8"/>
        <v>1456</v>
      </c>
      <c r="P160" s="47">
        <f t="shared" ca="1" si="9"/>
        <v>529</v>
      </c>
      <c r="Q160" s="71" t="str">
        <f t="shared" si="10"/>
        <v>2024-12</v>
      </c>
      <c r="R160" s="49">
        <f t="shared" si="11"/>
        <v>202412</v>
      </c>
    </row>
    <row r="161" spans="1:18" ht="15.75" customHeight="1">
      <c r="A161" s="69" t="s">
        <v>306</v>
      </c>
      <c r="B161" s="70">
        <v>45635</v>
      </c>
      <c r="C161" s="69" t="s">
        <v>112</v>
      </c>
      <c r="D161" s="69" t="s">
        <v>113</v>
      </c>
      <c r="E161" s="69" t="s">
        <v>21</v>
      </c>
      <c r="F161" s="69" t="s">
        <v>22</v>
      </c>
      <c r="G161" s="69" t="s">
        <v>23</v>
      </c>
      <c r="H161" s="69">
        <v>2</v>
      </c>
      <c r="I161" s="69">
        <v>249.99</v>
      </c>
      <c r="J161" s="69" t="s">
        <v>30</v>
      </c>
      <c r="K161" s="69" t="s">
        <v>25</v>
      </c>
      <c r="L161" s="69" t="s">
        <v>31</v>
      </c>
      <c r="M161" s="70">
        <v>44396</v>
      </c>
      <c r="N161" s="69">
        <v>499.98</v>
      </c>
      <c r="O161" s="47">
        <f t="shared" ca="1" si="8"/>
        <v>1763</v>
      </c>
      <c r="P161" s="47">
        <f t="shared" ca="1" si="9"/>
        <v>524</v>
      </c>
      <c r="Q161" s="71" t="str">
        <f t="shared" si="10"/>
        <v>2024-12</v>
      </c>
      <c r="R161" s="49">
        <f t="shared" si="11"/>
        <v>202412</v>
      </c>
    </row>
    <row r="162" spans="1:18" ht="15.75" customHeight="1">
      <c r="A162" s="69" t="s">
        <v>307</v>
      </c>
      <c r="B162" s="70">
        <v>45635</v>
      </c>
      <c r="C162" s="69" t="s">
        <v>308</v>
      </c>
      <c r="D162" s="69" t="s">
        <v>309</v>
      </c>
      <c r="E162" s="69" t="s">
        <v>35</v>
      </c>
      <c r="F162" s="69" t="s">
        <v>36</v>
      </c>
      <c r="G162" s="69" t="s">
        <v>37</v>
      </c>
      <c r="H162" s="69">
        <v>3</v>
      </c>
      <c r="I162" s="69">
        <v>59.99</v>
      </c>
      <c r="J162" s="69" t="s">
        <v>24</v>
      </c>
      <c r="K162" s="69" t="s">
        <v>25</v>
      </c>
      <c r="L162" s="69" t="s">
        <v>31</v>
      </c>
      <c r="M162" s="70">
        <v>45052</v>
      </c>
      <c r="N162" s="69">
        <v>179.97</v>
      </c>
      <c r="O162" s="47">
        <f t="shared" ca="1" si="8"/>
        <v>1107</v>
      </c>
      <c r="P162" s="47">
        <f t="shared" ca="1" si="9"/>
        <v>524</v>
      </c>
      <c r="Q162" s="71" t="str">
        <f t="shared" si="10"/>
        <v>2024-12</v>
      </c>
      <c r="R162" s="49">
        <f t="shared" si="11"/>
        <v>202412</v>
      </c>
    </row>
    <row r="163" spans="1:18" ht="15.75" customHeight="1">
      <c r="A163" s="69" t="s">
        <v>310</v>
      </c>
      <c r="B163" s="70">
        <v>45635</v>
      </c>
      <c r="C163" s="69" t="s">
        <v>145</v>
      </c>
      <c r="D163" s="69" t="s">
        <v>146</v>
      </c>
      <c r="E163" s="69" t="s">
        <v>118</v>
      </c>
      <c r="F163" s="69" t="s">
        <v>119</v>
      </c>
      <c r="G163" s="69" t="s">
        <v>37</v>
      </c>
      <c r="H163" s="69">
        <v>4</v>
      </c>
      <c r="I163" s="69">
        <v>79.989999999999995</v>
      </c>
      <c r="J163" s="69" t="s">
        <v>61</v>
      </c>
      <c r="K163" s="69" t="s">
        <v>67</v>
      </c>
      <c r="L163" s="69" t="s">
        <v>40</v>
      </c>
      <c r="M163" s="70">
        <v>44921</v>
      </c>
      <c r="N163" s="69">
        <v>319.95999999999998</v>
      </c>
      <c r="O163" s="47">
        <f t="shared" ca="1" si="8"/>
        <v>1238</v>
      </c>
      <c r="P163" s="47">
        <f t="shared" ca="1" si="9"/>
        <v>524</v>
      </c>
      <c r="Q163" s="71" t="str">
        <f t="shared" si="10"/>
        <v>2024-12</v>
      </c>
      <c r="R163" s="49">
        <f t="shared" si="11"/>
        <v>202412</v>
      </c>
    </row>
    <row r="164" spans="1:18" ht="15.75" customHeight="1">
      <c r="A164" s="69" t="s">
        <v>311</v>
      </c>
      <c r="B164" s="70">
        <v>45636</v>
      </c>
      <c r="C164" s="69" t="s">
        <v>124</v>
      </c>
      <c r="D164" s="69" t="s">
        <v>125</v>
      </c>
      <c r="E164" s="69" t="s">
        <v>118</v>
      </c>
      <c r="F164" s="69" t="s">
        <v>119</v>
      </c>
      <c r="G164" s="69" t="s">
        <v>37</v>
      </c>
      <c r="H164" s="69">
        <v>3</v>
      </c>
      <c r="I164" s="69">
        <v>79.989999999999995</v>
      </c>
      <c r="J164" s="69" t="s">
        <v>61</v>
      </c>
      <c r="K164" s="69" t="s">
        <v>67</v>
      </c>
      <c r="L164" s="69" t="s">
        <v>40</v>
      </c>
      <c r="M164" s="70">
        <v>44779</v>
      </c>
      <c r="N164" s="69">
        <v>239.97</v>
      </c>
      <c r="O164" s="47">
        <f t="shared" ca="1" si="8"/>
        <v>1380</v>
      </c>
      <c r="P164" s="47">
        <f t="shared" ca="1" si="9"/>
        <v>523</v>
      </c>
      <c r="Q164" s="71" t="str">
        <f t="shared" si="10"/>
        <v>2024-12</v>
      </c>
      <c r="R164" s="49">
        <f t="shared" si="11"/>
        <v>202412</v>
      </c>
    </row>
    <row r="165" spans="1:18" ht="15.75" customHeight="1">
      <c r="A165" s="69" t="s">
        <v>312</v>
      </c>
      <c r="B165" s="70">
        <v>45638</v>
      </c>
      <c r="C165" s="69" t="s">
        <v>76</v>
      </c>
      <c r="D165" s="69" t="s">
        <v>77</v>
      </c>
      <c r="E165" s="69" t="s">
        <v>65</v>
      </c>
      <c r="F165" s="69" t="s">
        <v>66</v>
      </c>
      <c r="G165" s="69" t="s">
        <v>23</v>
      </c>
      <c r="H165" s="69">
        <v>2</v>
      </c>
      <c r="I165" s="69">
        <v>899.99</v>
      </c>
      <c r="J165" s="69" t="s">
        <v>24</v>
      </c>
      <c r="K165" s="69" t="s">
        <v>44</v>
      </c>
      <c r="L165" s="69" t="s">
        <v>26</v>
      </c>
      <c r="M165" s="70">
        <v>44406</v>
      </c>
      <c r="N165" s="69">
        <v>1799.98</v>
      </c>
      <c r="O165" s="47">
        <f t="shared" ca="1" si="8"/>
        <v>1753</v>
      </c>
      <c r="P165" s="47">
        <f t="shared" ca="1" si="9"/>
        <v>521</v>
      </c>
      <c r="Q165" s="71" t="str">
        <f t="shared" si="10"/>
        <v>2024-12</v>
      </c>
      <c r="R165" s="49">
        <f t="shared" si="11"/>
        <v>202412</v>
      </c>
    </row>
    <row r="166" spans="1:18" ht="15.75" customHeight="1">
      <c r="A166" s="69" t="s">
        <v>313</v>
      </c>
      <c r="B166" s="70">
        <v>45641</v>
      </c>
      <c r="C166" s="69" t="s">
        <v>186</v>
      </c>
      <c r="D166" s="69" t="s">
        <v>187</v>
      </c>
      <c r="E166" s="69" t="s">
        <v>48</v>
      </c>
      <c r="F166" s="69" t="s">
        <v>49</v>
      </c>
      <c r="G166" s="69" t="s">
        <v>50</v>
      </c>
      <c r="H166" s="69">
        <v>1</v>
      </c>
      <c r="I166" s="69">
        <v>149.99</v>
      </c>
      <c r="J166" s="69" t="s">
        <v>61</v>
      </c>
      <c r="K166" s="69" t="s">
        <v>67</v>
      </c>
      <c r="L166" s="69" t="s">
        <v>40</v>
      </c>
      <c r="M166" s="70">
        <v>45200</v>
      </c>
      <c r="N166" s="69">
        <v>149.99</v>
      </c>
      <c r="O166" s="47">
        <f t="shared" ca="1" si="8"/>
        <v>959</v>
      </c>
      <c r="P166" s="47">
        <f t="shared" ca="1" si="9"/>
        <v>518</v>
      </c>
      <c r="Q166" s="71" t="str">
        <f t="shared" si="10"/>
        <v>2024-12</v>
      </c>
      <c r="R166" s="49">
        <f t="shared" si="11"/>
        <v>202412</v>
      </c>
    </row>
    <row r="167" spans="1:18" ht="15.75" customHeight="1">
      <c r="A167" s="69" t="s">
        <v>314</v>
      </c>
      <c r="B167" s="70">
        <v>45641</v>
      </c>
      <c r="C167" s="69" t="s">
        <v>142</v>
      </c>
      <c r="D167" s="69" t="s">
        <v>143</v>
      </c>
      <c r="E167" s="69" t="s">
        <v>109</v>
      </c>
      <c r="F167" s="69" t="s">
        <v>110</v>
      </c>
      <c r="G167" s="69" t="s">
        <v>50</v>
      </c>
      <c r="H167" s="69">
        <v>2</v>
      </c>
      <c r="I167" s="69">
        <v>299.99</v>
      </c>
      <c r="J167" s="69" t="s">
        <v>24</v>
      </c>
      <c r="K167" s="69" t="s">
        <v>67</v>
      </c>
      <c r="L167" s="69" t="s">
        <v>31</v>
      </c>
      <c r="M167" s="70">
        <v>44724</v>
      </c>
      <c r="N167" s="69">
        <v>599.98</v>
      </c>
      <c r="O167" s="47">
        <f t="shared" ca="1" si="8"/>
        <v>1435</v>
      </c>
      <c r="P167" s="47">
        <f t="shared" ca="1" si="9"/>
        <v>518</v>
      </c>
      <c r="Q167" s="71" t="str">
        <f t="shared" si="10"/>
        <v>2024-12</v>
      </c>
      <c r="R167" s="49">
        <f t="shared" si="11"/>
        <v>202412</v>
      </c>
    </row>
    <row r="168" spans="1:18" ht="15.75" customHeight="1">
      <c r="A168" s="69" t="s">
        <v>315</v>
      </c>
      <c r="B168" s="70">
        <v>45644</v>
      </c>
      <c r="C168" s="69" t="s">
        <v>136</v>
      </c>
      <c r="D168" s="69" t="s">
        <v>137</v>
      </c>
      <c r="E168" s="69" t="s">
        <v>35</v>
      </c>
      <c r="F168" s="69" t="s">
        <v>36</v>
      </c>
      <c r="G168" s="69" t="s">
        <v>37</v>
      </c>
      <c r="H168" s="69">
        <v>2</v>
      </c>
      <c r="I168" s="69">
        <v>59.99</v>
      </c>
      <c r="J168" s="69" t="s">
        <v>24</v>
      </c>
      <c r="K168" s="69" t="s">
        <v>54</v>
      </c>
      <c r="L168" s="69" t="s">
        <v>26</v>
      </c>
      <c r="M168" s="70">
        <v>45191</v>
      </c>
      <c r="N168" s="69">
        <v>119.98</v>
      </c>
      <c r="O168" s="47">
        <f t="shared" ca="1" si="8"/>
        <v>968</v>
      </c>
      <c r="P168" s="47">
        <f t="shared" ca="1" si="9"/>
        <v>515</v>
      </c>
      <c r="Q168" s="71" t="str">
        <f t="shared" si="10"/>
        <v>2024-12</v>
      </c>
      <c r="R168" s="49">
        <f t="shared" si="11"/>
        <v>202412</v>
      </c>
    </row>
    <row r="169" spans="1:18" ht="15.75" customHeight="1">
      <c r="A169" s="69" t="s">
        <v>316</v>
      </c>
      <c r="B169" s="70">
        <v>45645</v>
      </c>
      <c r="C169" s="69" t="s">
        <v>186</v>
      </c>
      <c r="D169" s="69" t="s">
        <v>187</v>
      </c>
      <c r="E169" s="69" t="s">
        <v>121</v>
      </c>
      <c r="F169" s="69" t="s">
        <v>122</v>
      </c>
      <c r="G169" s="69" t="s">
        <v>23</v>
      </c>
      <c r="H169" s="69">
        <v>1</v>
      </c>
      <c r="I169" s="69">
        <v>89.99</v>
      </c>
      <c r="J169" s="69" t="s">
        <v>61</v>
      </c>
      <c r="K169" s="69" t="s">
        <v>25</v>
      </c>
      <c r="L169" s="69" t="s">
        <v>40</v>
      </c>
      <c r="M169" s="70">
        <v>44760</v>
      </c>
      <c r="N169" s="69">
        <v>89.99</v>
      </c>
      <c r="O169" s="47">
        <f t="shared" ca="1" si="8"/>
        <v>1399</v>
      </c>
      <c r="P169" s="47">
        <f t="shared" ca="1" si="9"/>
        <v>514</v>
      </c>
      <c r="Q169" s="71" t="str">
        <f t="shared" si="10"/>
        <v>2024-12</v>
      </c>
      <c r="R169" s="49">
        <f t="shared" si="11"/>
        <v>202412</v>
      </c>
    </row>
    <row r="170" spans="1:18" ht="15.75" customHeight="1">
      <c r="A170" s="69" t="s">
        <v>317</v>
      </c>
      <c r="B170" s="70">
        <v>45645</v>
      </c>
      <c r="C170" s="69" t="s">
        <v>151</v>
      </c>
      <c r="D170" s="69" t="s">
        <v>152</v>
      </c>
      <c r="E170" s="69" t="s">
        <v>65</v>
      </c>
      <c r="F170" s="69" t="s">
        <v>66</v>
      </c>
      <c r="G170" s="69" t="s">
        <v>23</v>
      </c>
      <c r="H170" s="69">
        <v>5</v>
      </c>
      <c r="I170" s="69">
        <v>899.99</v>
      </c>
      <c r="J170" s="69" t="s">
        <v>61</v>
      </c>
      <c r="K170" s="69" t="s">
        <v>67</v>
      </c>
      <c r="L170" s="69" t="s">
        <v>40</v>
      </c>
      <c r="M170" s="70">
        <v>44625</v>
      </c>
      <c r="N170" s="69">
        <v>4499.95</v>
      </c>
      <c r="O170" s="47">
        <f t="shared" ca="1" si="8"/>
        <v>1534</v>
      </c>
      <c r="P170" s="47">
        <f t="shared" ca="1" si="9"/>
        <v>514</v>
      </c>
      <c r="Q170" s="71" t="str">
        <f t="shared" si="10"/>
        <v>2024-12</v>
      </c>
      <c r="R170" s="49">
        <f t="shared" si="11"/>
        <v>202412</v>
      </c>
    </row>
    <row r="171" spans="1:18" ht="15.75" customHeight="1">
      <c r="A171" s="69" t="s">
        <v>318</v>
      </c>
      <c r="B171" s="70">
        <v>45646</v>
      </c>
      <c r="C171" s="69" t="s">
        <v>46</v>
      </c>
      <c r="D171" s="69" t="s">
        <v>47</v>
      </c>
      <c r="E171" s="69" t="s">
        <v>48</v>
      </c>
      <c r="F171" s="69" t="s">
        <v>49</v>
      </c>
      <c r="G171" s="69" t="s">
        <v>50</v>
      </c>
      <c r="H171" s="69">
        <v>2</v>
      </c>
      <c r="I171" s="69">
        <v>149.99</v>
      </c>
      <c r="J171" s="69" t="s">
        <v>24</v>
      </c>
      <c r="K171" s="69" t="s">
        <v>39</v>
      </c>
      <c r="L171" s="69" t="s">
        <v>26</v>
      </c>
      <c r="M171" s="70">
        <v>45239</v>
      </c>
      <c r="N171" s="69">
        <v>299.98</v>
      </c>
      <c r="O171" s="47">
        <f t="shared" ca="1" si="8"/>
        <v>920</v>
      </c>
      <c r="P171" s="47">
        <f t="shared" ca="1" si="9"/>
        <v>513</v>
      </c>
      <c r="Q171" s="71" t="str">
        <f t="shared" si="10"/>
        <v>2024-12</v>
      </c>
      <c r="R171" s="49">
        <f t="shared" si="11"/>
        <v>202412</v>
      </c>
    </row>
    <row r="172" spans="1:18" ht="15.75" customHeight="1">
      <c r="A172" s="69" t="s">
        <v>319</v>
      </c>
      <c r="B172" s="70">
        <v>45648</v>
      </c>
      <c r="C172" s="69" t="s">
        <v>116</v>
      </c>
      <c r="D172" s="69" t="s">
        <v>117</v>
      </c>
      <c r="E172" s="69" t="s">
        <v>56</v>
      </c>
      <c r="F172" s="69" t="s">
        <v>57</v>
      </c>
      <c r="G172" s="69" t="s">
        <v>23</v>
      </c>
      <c r="H172" s="69">
        <v>2</v>
      </c>
      <c r="I172" s="69">
        <v>149.99</v>
      </c>
      <c r="J172" s="69" t="s">
        <v>61</v>
      </c>
      <c r="K172" s="69" t="s">
        <v>54</v>
      </c>
      <c r="L172" s="69" t="s">
        <v>31</v>
      </c>
      <c r="M172" s="70">
        <v>45280</v>
      </c>
      <c r="N172" s="69">
        <v>299.98</v>
      </c>
      <c r="O172" s="47">
        <f t="shared" ca="1" si="8"/>
        <v>879</v>
      </c>
      <c r="P172" s="47">
        <f t="shared" ca="1" si="9"/>
        <v>511</v>
      </c>
      <c r="Q172" s="71" t="str">
        <f t="shared" si="10"/>
        <v>2024-12</v>
      </c>
      <c r="R172" s="49">
        <f t="shared" si="11"/>
        <v>202412</v>
      </c>
    </row>
    <row r="173" spans="1:18" ht="15.75" customHeight="1">
      <c r="A173" s="69" t="s">
        <v>320</v>
      </c>
      <c r="B173" s="70">
        <v>45648</v>
      </c>
      <c r="C173" s="69" t="s">
        <v>186</v>
      </c>
      <c r="D173" s="69" t="s">
        <v>187</v>
      </c>
      <c r="E173" s="69" t="s">
        <v>48</v>
      </c>
      <c r="F173" s="69" t="s">
        <v>49</v>
      </c>
      <c r="G173" s="69" t="s">
        <v>50</v>
      </c>
      <c r="H173" s="69">
        <v>3</v>
      </c>
      <c r="I173" s="69">
        <v>149.99</v>
      </c>
      <c r="J173" s="69" t="s">
        <v>61</v>
      </c>
      <c r="K173" s="69" t="s">
        <v>44</v>
      </c>
      <c r="L173" s="69" t="s">
        <v>40</v>
      </c>
      <c r="M173" s="70">
        <v>44522</v>
      </c>
      <c r="N173" s="69">
        <v>449.97</v>
      </c>
      <c r="O173" s="47">
        <f t="shared" ca="1" si="8"/>
        <v>1637</v>
      </c>
      <c r="P173" s="47">
        <f t="shared" ca="1" si="9"/>
        <v>511</v>
      </c>
      <c r="Q173" s="71" t="str">
        <f t="shared" si="10"/>
        <v>2024-12</v>
      </c>
      <c r="R173" s="49">
        <f t="shared" si="11"/>
        <v>202412</v>
      </c>
    </row>
    <row r="174" spans="1:18" ht="15.75" customHeight="1">
      <c r="A174" s="69" t="s">
        <v>321</v>
      </c>
      <c r="B174" s="70">
        <v>45649</v>
      </c>
      <c r="C174" s="69" t="s">
        <v>33</v>
      </c>
      <c r="D174" s="69" t="s">
        <v>34</v>
      </c>
      <c r="E174" s="69" t="s">
        <v>109</v>
      </c>
      <c r="F174" s="69" t="s">
        <v>110</v>
      </c>
      <c r="G174" s="69" t="s">
        <v>50</v>
      </c>
      <c r="H174" s="69">
        <v>2</v>
      </c>
      <c r="I174" s="69">
        <v>299.99</v>
      </c>
      <c r="J174" s="69" t="s">
        <v>38</v>
      </c>
      <c r="K174" s="69" t="s">
        <v>39</v>
      </c>
      <c r="L174" s="69" t="s">
        <v>26</v>
      </c>
      <c r="M174" s="70">
        <v>44721</v>
      </c>
      <c r="N174" s="69">
        <v>599.98</v>
      </c>
      <c r="O174" s="47">
        <f t="shared" ca="1" si="8"/>
        <v>1438</v>
      </c>
      <c r="P174" s="47">
        <f t="shared" ca="1" si="9"/>
        <v>510</v>
      </c>
      <c r="Q174" s="71" t="str">
        <f t="shared" si="10"/>
        <v>2024-12</v>
      </c>
      <c r="R174" s="49">
        <f t="shared" si="11"/>
        <v>202412</v>
      </c>
    </row>
    <row r="175" spans="1:18" ht="15.75" customHeight="1">
      <c r="A175" s="69" t="s">
        <v>322</v>
      </c>
      <c r="B175" s="70">
        <v>45654</v>
      </c>
      <c r="C175" s="69" t="s">
        <v>46</v>
      </c>
      <c r="D175" s="69" t="s">
        <v>47</v>
      </c>
      <c r="E175" s="69" t="s">
        <v>109</v>
      </c>
      <c r="F175" s="69" t="s">
        <v>110</v>
      </c>
      <c r="G175" s="69" t="s">
        <v>50</v>
      </c>
      <c r="H175" s="69">
        <v>2</v>
      </c>
      <c r="I175" s="69">
        <v>299.99</v>
      </c>
      <c r="J175" s="69" t="s">
        <v>24</v>
      </c>
      <c r="K175" s="69" t="s">
        <v>54</v>
      </c>
      <c r="L175" s="69" t="s">
        <v>26</v>
      </c>
      <c r="M175" s="70">
        <v>44771</v>
      </c>
      <c r="N175" s="69">
        <v>599.98</v>
      </c>
      <c r="O175" s="47">
        <f t="shared" ca="1" si="8"/>
        <v>1388</v>
      </c>
      <c r="P175" s="47">
        <f t="shared" ca="1" si="9"/>
        <v>505</v>
      </c>
      <c r="Q175" s="71" t="str">
        <f t="shared" si="10"/>
        <v>2024-12</v>
      </c>
      <c r="R175" s="49">
        <f t="shared" si="11"/>
        <v>202412</v>
      </c>
    </row>
    <row r="176" spans="1:18" ht="15.75" customHeight="1">
      <c r="A176" s="69" t="s">
        <v>323</v>
      </c>
      <c r="B176" s="70">
        <v>45654</v>
      </c>
      <c r="C176" s="69" t="s">
        <v>124</v>
      </c>
      <c r="D176" s="69" t="s">
        <v>125</v>
      </c>
      <c r="E176" s="69" t="s">
        <v>130</v>
      </c>
      <c r="F176" s="69" t="s">
        <v>131</v>
      </c>
      <c r="G176" s="69" t="s">
        <v>50</v>
      </c>
      <c r="H176" s="69">
        <v>4</v>
      </c>
      <c r="I176" s="69">
        <v>199.99</v>
      </c>
      <c r="J176" s="69" t="s">
        <v>30</v>
      </c>
      <c r="K176" s="69" t="s">
        <v>25</v>
      </c>
      <c r="L176" s="69" t="s">
        <v>26</v>
      </c>
      <c r="M176" s="70">
        <v>44523</v>
      </c>
      <c r="N176" s="69">
        <v>799.96</v>
      </c>
      <c r="O176" s="47">
        <f t="shared" ca="1" si="8"/>
        <v>1636</v>
      </c>
      <c r="P176" s="47">
        <f t="shared" ca="1" si="9"/>
        <v>505</v>
      </c>
      <c r="Q176" s="71" t="str">
        <f t="shared" si="10"/>
        <v>2024-12</v>
      </c>
      <c r="R176" s="49">
        <f t="shared" si="11"/>
        <v>202412</v>
      </c>
    </row>
    <row r="177" spans="1:18" ht="15.75" customHeight="1">
      <c r="A177" s="69" t="s">
        <v>324</v>
      </c>
      <c r="B177" s="70">
        <v>45655</v>
      </c>
      <c r="C177" s="69" t="s">
        <v>63</v>
      </c>
      <c r="D177" s="69" t="s">
        <v>64</v>
      </c>
      <c r="E177" s="69" t="s">
        <v>121</v>
      </c>
      <c r="F177" s="69" t="s">
        <v>122</v>
      </c>
      <c r="G177" s="69" t="s">
        <v>23</v>
      </c>
      <c r="H177" s="69">
        <v>1</v>
      </c>
      <c r="I177" s="69">
        <v>89.99</v>
      </c>
      <c r="J177" s="69" t="s">
        <v>30</v>
      </c>
      <c r="K177" s="69" t="s">
        <v>39</v>
      </c>
      <c r="L177" s="69" t="s">
        <v>31</v>
      </c>
      <c r="M177" s="70">
        <v>44591</v>
      </c>
      <c r="N177" s="69">
        <v>89.99</v>
      </c>
      <c r="O177" s="47">
        <f t="shared" ca="1" si="8"/>
        <v>1568</v>
      </c>
      <c r="P177" s="47">
        <f t="shared" ca="1" si="9"/>
        <v>504</v>
      </c>
      <c r="Q177" s="71" t="str">
        <f t="shared" si="10"/>
        <v>2024-12</v>
      </c>
      <c r="R177" s="49">
        <f t="shared" si="11"/>
        <v>202412</v>
      </c>
    </row>
    <row r="178" spans="1:18" ht="15.75" customHeight="1">
      <c r="A178" s="69" t="s">
        <v>325</v>
      </c>
      <c r="B178" s="70">
        <v>45655</v>
      </c>
      <c r="C178" s="69" t="s">
        <v>112</v>
      </c>
      <c r="D178" s="69" t="s">
        <v>113</v>
      </c>
      <c r="E178" s="69" t="s">
        <v>48</v>
      </c>
      <c r="F178" s="69" t="s">
        <v>49</v>
      </c>
      <c r="G178" s="69" t="s">
        <v>50</v>
      </c>
      <c r="H178" s="69">
        <v>5</v>
      </c>
      <c r="I178" s="69">
        <v>149.99</v>
      </c>
      <c r="J178" s="69" t="s">
        <v>24</v>
      </c>
      <c r="K178" s="69" t="s">
        <v>25</v>
      </c>
      <c r="L178" s="69" t="s">
        <v>31</v>
      </c>
      <c r="M178" s="70">
        <v>45347</v>
      </c>
      <c r="N178" s="69">
        <v>749.95</v>
      </c>
      <c r="O178" s="47">
        <f t="shared" ca="1" si="8"/>
        <v>812</v>
      </c>
      <c r="P178" s="47">
        <f t="shared" ca="1" si="9"/>
        <v>504</v>
      </c>
      <c r="Q178" s="71" t="str">
        <f t="shared" si="10"/>
        <v>2024-12</v>
      </c>
      <c r="R178" s="49">
        <f t="shared" si="11"/>
        <v>202412</v>
      </c>
    </row>
    <row r="179" spans="1:18" ht="15.75" customHeight="1">
      <c r="A179" s="69" t="s">
        <v>326</v>
      </c>
      <c r="B179" s="70">
        <v>45657</v>
      </c>
      <c r="C179" s="69" t="s">
        <v>90</v>
      </c>
      <c r="D179" s="69" t="s">
        <v>91</v>
      </c>
      <c r="E179" s="69" t="s">
        <v>65</v>
      </c>
      <c r="F179" s="69" t="s">
        <v>66</v>
      </c>
      <c r="G179" s="69" t="s">
        <v>23</v>
      </c>
      <c r="H179" s="69">
        <v>1</v>
      </c>
      <c r="I179" s="69">
        <v>899.99</v>
      </c>
      <c r="J179" s="69" t="s">
        <v>38</v>
      </c>
      <c r="K179" s="69" t="s">
        <v>44</v>
      </c>
      <c r="L179" s="69" t="s">
        <v>31</v>
      </c>
      <c r="M179" s="70">
        <v>45050</v>
      </c>
      <c r="N179" s="69">
        <v>899.99</v>
      </c>
      <c r="O179" s="47">
        <f t="shared" ca="1" si="8"/>
        <v>1109</v>
      </c>
      <c r="P179" s="47">
        <f t="shared" ca="1" si="9"/>
        <v>502</v>
      </c>
      <c r="Q179" s="71" t="str">
        <f t="shared" si="10"/>
        <v>2024-12</v>
      </c>
      <c r="R179" s="49">
        <f t="shared" si="11"/>
        <v>202412</v>
      </c>
    </row>
    <row r="180" spans="1:18" ht="15.75" customHeight="1">
      <c r="A180" s="69" t="s">
        <v>327</v>
      </c>
      <c r="B180" s="70">
        <v>45660</v>
      </c>
      <c r="C180" s="69" t="s">
        <v>151</v>
      </c>
      <c r="D180" s="69" t="s">
        <v>152</v>
      </c>
      <c r="E180" s="69" t="s">
        <v>121</v>
      </c>
      <c r="F180" s="69" t="s">
        <v>122</v>
      </c>
      <c r="G180" s="69" t="s">
        <v>23</v>
      </c>
      <c r="H180" s="69">
        <v>2</v>
      </c>
      <c r="I180" s="69">
        <v>89.99</v>
      </c>
      <c r="J180" s="69" t="s">
        <v>30</v>
      </c>
      <c r="K180" s="69" t="s">
        <v>39</v>
      </c>
      <c r="L180" s="69" t="s">
        <v>31</v>
      </c>
      <c r="M180" s="70">
        <v>44564</v>
      </c>
      <c r="N180" s="69">
        <v>179.98</v>
      </c>
      <c r="O180" s="47">
        <f t="shared" ca="1" si="8"/>
        <v>1595</v>
      </c>
      <c r="P180" s="47">
        <f t="shared" ca="1" si="9"/>
        <v>499</v>
      </c>
      <c r="Q180" s="71" t="str">
        <f t="shared" si="10"/>
        <v>2025-01</v>
      </c>
      <c r="R180" s="49">
        <f t="shared" si="11"/>
        <v>202501</v>
      </c>
    </row>
    <row r="181" spans="1:18" ht="15.75" customHeight="1">
      <c r="A181" s="69" t="s">
        <v>328</v>
      </c>
      <c r="B181" s="70">
        <v>45661</v>
      </c>
      <c r="C181" s="69" t="s">
        <v>329</v>
      </c>
      <c r="D181" s="69" t="s">
        <v>330</v>
      </c>
      <c r="E181" s="69" t="s">
        <v>65</v>
      </c>
      <c r="F181" s="69" t="s">
        <v>66</v>
      </c>
      <c r="G181" s="69" t="s">
        <v>23</v>
      </c>
      <c r="H181" s="69">
        <v>1</v>
      </c>
      <c r="I181" s="69">
        <v>899.99</v>
      </c>
      <c r="J181" s="69" t="s">
        <v>38</v>
      </c>
      <c r="K181" s="69" t="s">
        <v>44</v>
      </c>
      <c r="L181" s="69" t="s">
        <v>40</v>
      </c>
      <c r="M181" s="70">
        <v>44752</v>
      </c>
      <c r="N181" s="69">
        <v>899.99</v>
      </c>
      <c r="O181" s="47">
        <f t="shared" ca="1" si="8"/>
        <v>1407</v>
      </c>
      <c r="P181" s="47">
        <f t="shared" ca="1" si="9"/>
        <v>498</v>
      </c>
      <c r="Q181" s="71" t="str">
        <f t="shared" si="10"/>
        <v>2025-01</v>
      </c>
      <c r="R181" s="49">
        <f t="shared" si="11"/>
        <v>202501</v>
      </c>
    </row>
    <row r="182" spans="1:18" ht="15.75" customHeight="1">
      <c r="A182" s="69" t="s">
        <v>331</v>
      </c>
      <c r="B182" s="70">
        <v>45663</v>
      </c>
      <c r="C182" s="69" t="s">
        <v>133</v>
      </c>
      <c r="D182" s="69" t="s">
        <v>134</v>
      </c>
      <c r="E182" s="69" t="s">
        <v>56</v>
      </c>
      <c r="F182" s="69" t="s">
        <v>57</v>
      </c>
      <c r="G182" s="69" t="s">
        <v>23</v>
      </c>
      <c r="H182" s="69">
        <v>5</v>
      </c>
      <c r="I182" s="69">
        <v>149.99</v>
      </c>
      <c r="J182" s="69" t="s">
        <v>38</v>
      </c>
      <c r="K182" s="69" t="s">
        <v>67</v>
      </c>
      <c r="L182" s="69" t="s">
        <v>31</v>
      </c>
      <c r="M182" s="70">
        <v>44824</v>
      </c>
      <c r="N182" s="69">
        <v>749.95</v>
      </c>
      <c r="O182" s="47">
        <f t="shared" ca="1" si="8"/>
        <v>1335</v>
      </c>
      <c r="P182" s="47">
        <f t="shared" ca="1" si="9"/>
        <v>496</v>
      </c>
      <c r="Q182" s="71" t="str">
        <f t="shared" si="10"/>
        <v>2025-01</v>
      </c>
      <c r="R182" s="49">
        <f t="shared" si="11"/>
        <v>202501</v>
      </c>
    </row>
    <row r="183" spans="1:18" ht="15.75" customHeight="1">
      <c r="A183" s="69" t="s">
        <v>332</v>
      </c>
      <c r="B183" s="70">
        <v>45663</v>
      </c>
      <c r="C183" s="69" t="s">
        <v>46</v>
      </c>
      <c r="D183" s="69" t="s">
        <v>47</v>
      </c>
      <c r="E183" s="69" t="s">
        <v>109</v>
      </c>
      <c r="F183" s="69" t="s">
        <v>110</v>
      </c>
      <c r="G183" s="69" t="s">
        <v>50</v>
      </c>
      <c r="H183" s="69">
        <v>3</v>
      </c>
      <c r="I183" s="69">
        <v>299.99</v>
      </c>
      <c r="J183" s="69" t="s">
        <v>24</v>
      </c>
      <c r="K183" s="69" t="s">
        <v>39</v>
      </c>
      <c r="L183" s="69" t="s">
        <v>40</v>
      </c>
      <c r="M183" s="70">
        <v>44422</v>
      </c>
      <c r="N183" s="69">
        <v>899.97</v>
      </c>
      <c r="O183" s="47">
        <f t="shared" ca="1" si="8"/>
        <v>1737</v>
      </c>
      <c r="P183" s="47">
        <f t="shared" ca="1" si="9"/>
        <v>496</v>
      </c>
      <c r="Q183" s="71" t="str">
        <f t="shared" si="10"/>
        <v>2025-01</v>
      </c>
      <c r="R183" s="49">
        <f t="shared" si="11"/>
        <v>202501</v>
      </c>
    </row>
    <row r="184" spans="1:18" ht="15.75" customHeight="1">
      <c r="A184" s="69" t="s">
        <v>333</v>
      </c>
      <c r="B184" s="70">
        <v>45666</v>
      </c>
      <c r="C184" s="69" t="s">
        <v>69</v>
      </c>
      <c r="D184" s="69" t="s">
        <v>70</v>
      </c>
      <c r="E184" s="69" t="s">
        <v>84</v>
      </c>
      <c r="F184" s="69" t="s">
        <v>85</v>
      </c>
      <c r="G184" s="69" t="s">
        <v>23</v>
      </c>
      <c r="H184" s="69">
        <v>3</v>
      </c>
      <c r="I184" s="69">
        <v>699.99</v>
      </c>
      <c r="J184" s="69" t="s">
        <v>30</v>
      </c>
      <c r="K184" s="69" t="s">
        <v>25</v>
      </c>
      <c r="L184" s="69" t="s">
        <v>31</v>
      </c>
      <c r="M184" s="70">
        <v>45105</v>
      </c>
      <c r="N184" s="69">
        <v>2099.9699999999998</v>
      </c>
      <c r="O184" s="47">
        <f t="shared" ca="1" si="8"/>
        <v>1054</v>
      </c>
      <c r="P184" s="47">
        <f t="shared" ca="1" si="9"/>
        <v>493</v>
      </c>
      <c r="Q184" s="71" t="str">
        <f t="shared" si="10"/>
        <v>2025-01</v>
      </c>
      <c r="R184" s="49">
        <f t="shared" si="11"/>
        <v>202501</v>
      </c>
    </row>
    <row r="185" spans="1:18" ht="15.75" customHeight="1">
      <c r="A185" s="69" t="s">
        <v>334</v>
      </c>
      <c r="B185" s="70">
        <v>45667</v>
      </c>
      <c r="C185" s="69" t="s">
        <v>112</v>
      </c>
      <c r="D185" s="69" t="s">
        <v>113</v>
      </c>
      <c r="E185" s="69" t="s">
        <v>130</v>
      </c>
      <c r="F185" s="69" t="s">
        <v>131</v>
      </c>
      <c r="G185" s="69" t="s">
        <v>50</v>
      </c>
      <c r="H185" s="69">
        <v>5</v>
      </c>
      <c r="I185" s="69">
        <v>199.99</v>
      </c>
      <c r="J185" s="69" t="s">
        <v>38</v>
      </c>
      <c r="K185" s="69" t="s">
        <v>25</v>
      </c>
      <c r="L185" s="69" t="s">
        <v>40</v>
      </c>
      <c r="M185" s="70">
        <v>44633</v>
      </c>
      <c r="N185" s="69">
        <v>999.95</v>
      </c>
      <c r="O185" s="47">
        <f t="shared" ca="1" si="8"/>
        <v>1526</v>
      </c>
      <c r="P185" s="47">
        <f t="shared" ca="1" si="9"/>
        <v>492</v>
      </c>
      <c r="Q185" s="71" t="str">
        <f t="shared" si="10"/>
        <v>2025-01</v>
      </c>
      <c r="R185" s="49">
        <f t="shared" si="11"/>
        <v>202501</v>
      </c>
    </row>
    <row r="186" spans="1:18" ht="15.75" customHeight="1">
      <c r="A186" s="69" t="s">
        <v>335</v>
      </c>
      <c r="B186" s="70">
        <v>45667</v>
      </c>
      <c r="C186" s="69" t="s">
        <v>97</v>
      </c>
      <c r="D186" s="69" t="s">
        <v>98</v>
      </c>
      <c r="E186" s="69" t="s">
        <v>21</v>
      </c>
      <c r="F186" s="69" t="s">
        <v>22</v>
      </c>
      <c r="G186" s="69" t="s">
        <v>23</v>
      </c>
      <c r="H186" s="69">
        <v>5</v>
      </c>
      <c r="I186" s="69">
        <v>249.99</v>
      </c>
      <c r="J186" s="69" t="s">
        <v>30</v>
      </c>
      <c r="K186" s="69" t="s">
        <v>39</v>
      </c>
      <c r="L186" s="69" t="s">
        <v>26</v>
      </c>
      <c r="M186" s="70">
        <v>45330</v>
      </c>
      <c r="N186" s="69">
        <v>1249.95</v>
      </c>
      <c r="O186" s="47">
        <f t="shared" ca="1" si="8"/>
        <v>829</v>
      </c>
      <c r="P186" s="47">
        <f t="shared" ca="1" si="9"/>
        <v>492</v>
      </c>
      <c r="Q186" s="71" t="str">
        <f t="shared" si="10"/>
        <v>2025-01</v>
      </c>
      <c r="R186" s="49">
        <f t="shared" si="11"/>
        <v>202501</v>
      </c>
    </row>
    <row r="187" spans="1:18" ht="15.75" customHeight="1">
      <c r="A187" s="69" t="s">
        <v>336</v>
      </c>
      <c r="B187" s="70">
        <v>45668</v>
      </c>
      <c r="C187" s="69" t="s">
        <v>142</v>
      </c>
      <c r="D187" s="69" t="s">
        <v>143</v>
      </c>
      <c r="E187" s="69" t="s">
        <v>56</v>
      </c>
      <c r="F187" s="69" t="s">
        <v>57</v>
      </c>
      <c r="G187" s="69" t="s">
        <v>23</v>
      </c>
      <c r="H187" s="69">
        <v>4</v>
      </c>
      <c r="I187" s="69">
        <v>149.99</v>
      </c>
      <c r="J187" s="69" t="s">
        <v>61</v>
      </c>
      <c r="K187" s="69" t="s">
        <v>67</v>
      </c>
      <c r="L187" s="69" t="s">
        <v>40</v>
      </c>
      <c r="M187" s="70">
        <v>44536</v>
      </c>
      <c r="N187" s="69">
        <v>599.96</v>
      </c>
      <c r="O187" s="47">
        <f t="shared" ca="1" si="8"/>
        <v>1623</v>
      </c>
      <c r="P187" s="47">
        <f t="shared" ca="1" si="9"/>
        <v>491</v>
      </c>
      <c r="Q187" s="71" t="str">
        <f t="shared" si="10"/>
        <v>2025-01</v>
      </c>
      <c r="R187" s="49">
        <f t="shared" si="11"/>
        <v>202501</v>
      </c>
    </row>
    <row r="188" spans="1:18" ht="15.75" customHeight="1">
      <c r="A188" s="69" t="s">
        <v>337</v>
      </c>
      <c r="B188" s="70">
        <v>45668</v>
      </c>
      <c r="C188" s="69" t="s">
        <v>82</v>
      </c>
      <c r="D188" s="69" t="s">
        <v>83</v>
      </c>
      <c r="E188" s="69" t="s">
        <v>84</v>
      </c>
      <c r="F188" s="69" t="s">
        <v>85</v>
      </c>
      <c r="G188" s="69" t="s">
        <v>23</v>
      </c>
      <c r="H188" s="69">
        <v>3</v>
      </c>
      <c r="I188" s="69">
        <v>699.99</v>
      </c>
      <c r="J188" s="69" t="s">
        <v>24</v>
      </c>
      <c r="K188" s="69" t="s">
        <v>44</v>
      </c>
      <c r="L188" s="69" t="s">
        <v>31</v>
      </c>
      <c r="M188" s="70">
        <v>44602</v>
      </c>
      <c r="N188" s="69">
        <v>2099.9699999999998</v>
      </c>
      <c r="O188" s="47">
        <f t="shared" ca="1" si="8"/>
        <v>1557</v>
      </c>
      <c r="P188" s="47">
        <f t="shared" ca="1" si="9"/>
        <v>491</v>
      </c>
      <c r="Q188" s="71" t="str">
        <f t="shared" si="10"/>
        <v>2025-01</v>
      </c>
      <c r="R188" s="49">
        <f t="shared" si="11"/>
        <v>202501</v>
      </c>
    </row>
    <row r="189" spans="1:18" ht="15.75" customHeight="1">
      <c r="A189" s="69" t="s">
        <v>338</v>
      </c>
      <c r="B189" s="70">
        <v>45670</v>
      </c>
      <c r="C189" s="69" t="s">
        <v>297</v>
      </c>
      <c r="D189" s="69" t="s">
        <v>298</v>
      </c>
      <c r="E189" s="69" t="s">
        <v>118</v>
      </c>
      <c r="F189" s="69" t="s">
        <v>119</v>
      </c>
      <c r="G189" s="69" t="s">
        <v>37</v>
      </c>
      <c r="H189" s="69">
        <v>1</v>
      </c>
      <c r="I189" s="69">
        <v>79.989999999999995</v>
      </c>
      <c r="J189" s="69" t="s">
        <v>30</v>
      </c>
      <c r="K189" s="69" t="s">
        <v>39</v>
      </c>
      <c r="L189" s="69" t="s">
        <v>26</v>
      </c>
      <c r="M189" s="70">
        <v>45322</v>
      </c>
      <c r="N189" s="69">
        <v>79.989999999999995</v>
      </c>
      <c r="O189" s="47">
        <f t="shared" ca="1" si="8"/>
        <v>837</v>
      </c>
      <c r="P189" s="47">
        <f t="shared" ca="1" si="9"/>
        <v>489</v>
      </c>
      <c r="Q189" s="71" t="str">
        <f t="shared" si="10"/>
        <v>2025-01</v>
      </c>
      <c r="R189" s="49">
        <f t="shared" si="11"/>
        <v>202501</v>
      </c>
    </row>
    <row r="190" spans="1:18" ht="15.75" customHeight="1">
      <c r="A190" s="69" t="s">
        <v>339</v>
      </c>
      <c r="B190" s="70">
        <v>45670</v>
      </c>
      <c r="C190" s="69" t="s">
        <v>90</v>
      </c>
      <c r="D190" s="69" t="s">
        <v>91</v>
      </c>
      <c r="E190" s="69" t="s">
        <v>109</v>
      </c>
      <c r="F190" s="69" t="s">
        <v>110</v>
      </c>
      <c r="G190" s="69" t="s">
        <v>50</v>
      </c>
      <c r="H190" s="69">
        <v>1</v>
      </c>
      <c r="I190" s="69">
        <v>299.99</v>
      </c>
      <c r="J190" s="69" t="s">
        <v>30</v>
      </c>
      <c r="K190" s="69" t="s">
        <v>44</v>
      </c>
      <c r="L190" s="69" t="s">
        <v>26</v>
      </c>
      <c r="M190" s="70">
        <v>44436</v>
      </c>
      <c r="N190" s="69">
        <v>299.99</v>
      </c>
      <c r="O190" s="47">
        <f t="shared" ca="1" si="8"/>
        <v>1723</v>
      </c>
      <c r="P190" s="47">
        <f t="shared" ca="1" si="9"/>
        <v>489</v>
      </c>
      <c r="Q190" s="71" t="str">
        <f t="shared" si="10"/>
        <v>2025-01</v>
      </c>
      <c r="R190" s="49">
        <f t="shared" si="11"/>
        <v>202501</v>
      </c>
    </row>
    <row r="191" spans="1:18" ht="15.75" customHeight="1">
      <c r="A191" s="69" t="s">
        <v>340</v>
      </c>
      <c r="B191" s="70">
        <v>45671</v>
      </c>
      <c r="C191" s="69" t="s">
        <v>162</v>
      </c>
      <c r="D191" s="69" t="s">
        <v>163</v>
      </c>
      <c r="E191" s="69" t="s">
        <v>21</v>
      </c>
      <c r="F191" s="69" t="s">
        <v>22</v>
      </c>
      <c r="G191" s="69" t="s">
        <v>23</v>
      </c>
      <c r="H191" s="69">
        <v>4</v>
      </c>
      <c r="I191" s="69">
        <v>249.99</v>
      </c>
      <c r="J191" s="69" t="s">
        <v>30</v>
      </c>
      <c r="K191" s="69" t="s">
        <v>44</v>
      </c>
      <c r="L191" s="69" t="s">
        <v>31</v>
      </c>
      <c r="M191" s="70">
        <v>44460</v>
      </c>
      <c r="N191" s="69">
        <v>999.96</v>
      </c>
      <c r="O191" s="47">
        <f t="shared" ca="1" si="8"/>
        <v>1699</v>
      </c>
      <c r="P191" s="47">
        <f t="shared" ca="1" si="9"/>
        <v>488</v>
      </c>
      <c r="Q191" s="71" t="str">
        <f t="shared" si="10"/>
        <v>2025-01</v>
      </c>
      <c r="R191" s="49">
        <f t="shared" si="11"/>
        <v>202501</v>
      </c>
    </row>
    <row r="192" spans="1:18" ht="15.75" customHeight="1">
      <c r="A192" s="69" t="s">
        <v>341</v>
      </c>
      <c r="B192" s="70">
        <v>45671</v>
      </c>
      <c r="C192" s="69" t="s">
        <v>124</v>
      </c>
      <c r="D192" s="69" t="s">
        <v>125</v>
      </c>
      <c r="E192" s="69" t="s">
        <v>56</v>
      </c>
      <c r="F192" s="69" t="s">
        <v>57</v>
      </c>
      <c r="G192" s="69" t="s">
        <v>23</v>
      </c>
      <c r="H192" s="69">
        <v>2</v>
      </c>
      <c r="I192" s="69">
        <v>149.99</v>
      </c>
      <c r="J192" s="69" t="s">
        <v>24</v>
      </c>
      <c r="K192" s="69" t="s">
        <v>44</v>
      </c>
      <c r="L192" s="69" t="s">
        <v>40</v>
      </c>
      <c r="M192" s="70">
        <v>44913</v>
      </c>
      <c r="N192" s="69">
        <v>299.98</v>
      </c>
      <c r="O192" s="47">
        <f t="shared" ca="1" si="8"/>
        <v>1246</v>
      </c>
      <c r="P192" s="47">
        <f t="shared" ca="1" si="9"/>
        <v>488</v>
      </c>
      <c r="Q192" s="71" t="str">
        <f t="shared" si="10"/>
        <v>2025-01</v>
      </c>
      <c r="R192" s="49">
        <f t="shared" si="11"/>
        <v>202501</v>
      </c>
    </row>
    <row r="193" spans="1:18" ht="15.75" customHeight="1">
      <c r="A193" s="69" t="s">
        <v>342</v>
      </c>
      <c r="B193" s="70">
        <v>45671</v>
      </c>
      <c r="C193" s="69" t="s">
        <v>238</v>
      </c>
      <c r="D193" s="69" t="s">
        <v>239</v>
      </c>
      <c r="E193" s="69" t="s">
        <v>109</v>
      </c>
      <c r="F193" s="69" t="s">
        <v>110</v>
      </c>
      <c r="G193" s="69" t="s">
        <v>50</v>
      </c>
      <c r="H193" s="69">
        <v>3</v>
      </c>
      <c r="I193" s="69">
        <v>299.99</v>
      </c>
      <c r="J193" s="69" t="s">
        <v>30</v>
      </c>
      <c r="K193" s="69" t="s">
        <v>39</v>
      </c>
      <c r="L193" s="69" t="s">
        <v>26</v>
      </c>
      <c r="M193" s="70">
        <v>45204</v>
      </c>
      <c r="N193" s="69">
        <v>899.97</v>
      </c>
      <c r="O193" s="47">
        <f t="shared" ca="1" si="8"/>
        <v>955</v>
      </c>
      <c r="P193" s="47">
        <f t="shared" ca="1" si="9"/>
        <v>488</v>
      </c>
      <c r="Q193" s="71" t="str">
        <f t="shared" si="10"/>
        <v>2025-01</v>
      </c>
      <c r="R193" s="49">
        <f t="shared" si="11"/>
        <v>202501</v>
      </c>
    </row>
    <row r="194" spans="1:18" ht="15.75" customHeight="1">
      <c r="A194" s="69" t="s">
        <v>343</v>
      </c>
      <c r="B194" s="70">
        <v>45673</v>
      </c>
      <c r="C194" s="69" t="s">
        <v>230</v>
      </c>
      <c r="D194" s="69" t="s">
        <v>231</v>
      </c>
      <c r="E194" s="69" t="s">
        <v>130</v>
      </c>
      <c r="F194" s="69" t="s">
        <v>131</v>
      </c>
      <c r="G194" s="69" t="s">
        <v>50</v>
      </c>
      <c r="H194" s="69">
        <v>4</v>
      </c>
      <c r="I194" s="69">
        <v>199.99</v>
      </c>
      <c r="J194" s="69" t="s">
        <v>61</v>
      </c>
      <c r="K194" s="69" t="s">
        <v>39</v>
      </c>
      <c r="L194" s="69" t="s">
        <v>40</v>
      </c>
      <c r="M194" s="70">
        <v>44544</v>
      </c>
      <c r="N194" s="69">
        <v>799.96</v>
      </c>
      <c r="O194" s="47">
        <f t="shared" ca="1" si="8"/>
        <v>1615</v>
      </c>
      <c r="P194" s="47">
        <f t="shared" ca="1" si="9"/>
        <v>486</v>
      </c>
      <c r="Q194" s="71" t="str">
        <f t="shared" si="10"/>
        <v>2025-01</v>
      </c>
      <c r="R194" s="49">
        <f t="shared" si="11"/>
        <v>202501</v>
      </c>
    </row>
    <row r="195" spans="1:18" ht="15.75" customHeight="1">
      <c r="A195" s="69" t="s">
        <v>344</v>
      </c>
      <c r="B195" s="70">
        <v>45673</v>
      </c>
      <c r="C195" s="69" t="s">
        <v>215</v>
      </c>
      <c r="D195" s="69" t="s">
        <v>216</v>
      </c>
      <c r="E195" s="69" t="s">
        <v>109</v>
      </c>
      <c r="F195" s="69" t="s">
        <v>110</v>
      </c>
      <c r="G195" s="69" t="s">
        <v>50</v>
      </c>
      <c r="H195" s="69">
        <v>5</v>
      </c>
      <c r="I195" s="69">
        <v>299.99</v>
      </c>
      <c r="J195" s="69" t="s">
        <v>61</v>
      </c>
      <c r="K195" s="69" t="s">
        <v>25</v>
      </c>
      <c r="L195" s="69" t="s">
        <v>26</v>
      </c>
      <c r="M195" s="70">
        <v>44431</v>
      </c>
      <c r="N195" s="69">
        <v>1499.95</v>
      </c>
      <c r="O195" s="47">
        <f t="shared" ref="O195:O251" ca="1" si="12">TODAY()-M195</f>
        <v>1728</v>
      </c>
      <c r="P195" s="47">
        <f t="shared" ref="P195:P251" ca="1" si="13">TODAY()-B195</f>
        <v>486</v>
      </c>
      <c r="Q195" s="71" t="str">
        <f t="shared" ref="Q195:Q251" si="14">TEXT(B195,"yyyy-mm")</f>
        <v>2025-01</v>
      </c>
      <c r="R195" s="49">
        <f t="shared" ref="R195:R251" si="15">YEAR(B195)*100+MONTH(B195)</f>
        <v>202501</v>
      </c>
    </row>
    <row r="196" spans="1:18" ht="15.75" customHeight="1">
      <c r="A196" s="69" t="s">
        <v>345</v>
      </c>
      <c r="B196" s="70">
        <v>45673</v>
      </c>
      <c r="C196" s="69" t="s">
        <v>63</v>
      </c>
      <c r="D196" s="69" t="s">
        <v>64</v>
      </c>
      <c r="E196" s="69" t="s">
        <v>48</v>
      </c>
      <c r="F196" s="69" t="s">
        <v>49</v>
      </c>
      <c r="G196" s="69" t="s">
        <v>50</v>
      </c>
      <c r="H196" s="69">
        <v>3</v>
      </c>
      <c r="I196" s="69">
        <v>149.99</v>
      </c>
      <c r="J196" s="69" t="s">
        <v>30</v>
      </c>
      <c r="K196" s="69" t="s">
        <v>67</v>
      </c>
      <c r="L196" s="69" t="s">
        <v>40</v>
      </c>
      <c r="M196" s="70">
        <v>44395</v>
      </c>
      <c r="N196" s="69">
        <v>449.97</v>
      </c>
      <c r="O196" s="47">
        <f t="shared" ca="1" si="12"/>
        <v>1764</v>
      </c>
      <c r="P196" s="47">
        <f t="shared" ca="1" si="13"/>
        <v>486</v>
      </c>
      <c r="Q196" s="71" t="str">
        <f t="shared" si="14"/>
        <v>2025-01</v>
      </c>
      <c r="R196" s="49">
        <f t="shared" si="15"/>
        <v>202501</v>
      </c>
    </row>
    <row r="197" spans="1:18" ht="15.75" customHeight="1">
      <c r="A197" s="69" t="s">
        <v>346</v>
      </c>
      <c r="B197" s="70">
        <v>45676</v>
      </c>
      <c r="C197" s="69" t="s">
        <v>133</v>
      </c>
      <c r="D197" s="69" t="s">
        <v>134</v>
      </c>
      <c r="E197" s="69" t="s">
        <v>35</v>
      </c>
      <c r="F197" s="69" t="s">
        <v>36</v>
      </c>
      <c r="G197" s="69" t="s">
        <v>37</v>
      </c>
      <c r="H197" s="69">
        <v>5</v>
      </c>
      <c r="I197" s="69">
        <v>59.99</v>
      </c>
      <c r="J197" s="69" t="s">
        <v>61</v>
      </c>
      <c r="K197" s="69" t="s">
        <v>67</v>
      </c>
      <c r="L197" s="69" t="s">
        <v>26</v>
      </c>
      <c r="M197" s="70">
        <v>44642</v>
      </c>
      <c r="N197" s="69">
        <v>299.95</v>
      </c>
      <c r="O197" s="47">
        <f t="shared" ca="1" si="12"/>
        <v>1517</v>
      </c>
      <c r="P197" s="47">
        <f t="shared" ca="1" si="13"/>
        <v>483</v>
      </c>
      <c r="Q197" s="71" t="str">
        <f t="shared" si="14"/>
        <v>2025-01</v>
      </c>
      <c r="R197" s="49">
        <f t="shared" si="15"/>
        <v>202501</v>
      </c>
    </row>
    <row r="198" spans="1:18" ht="15.75" customHeight="1">
      <c r="A198" s="69" t="s">
        <v>347</v>
      </c>
      <c r="B198" s="70">
        <v>45682</v>
      </c>
      <c r="C198" s="69" t="s">
        <v>72</v>
      </c>
      <c r="D198" s="69" t="s">
        <v>73</v>
      </c>
      <c r="E198" s="69" t="s">
        <v>35</v>
      </c>
      <c r="F198" s="69" t="s">
        <v>36</v>
      </c>
      <c r="G198" s="69" t="s">
        <v>37</v>
      </c>
      <c r="H198" s="69">
        <v>4</v>
      </c>
      <c r="I198" s="69">
        <v>59.99</v>
      </c>
      <c r="J198" s="69" t="s">
        <v>61</v>
      </c>
      <c r="K198" s="69" t="s">
        <v>67</v>
      </c>
      <c r="L198" s="69" t="s">
        <v>40</v>
      </c>
      <c r="M198" s="70">
        <v>44564</v>
      </c>
      <c r="N198" s="69">
        <v>239.96</v>
      </c>
      <c r="O198" s="47">
        <f t="shared" ca="1" si="12"/>
        <v>1595</v>
      </c>
      <c r="P198" s="47">
        <f t="shared" ca="1" si="13"/>
        <v>477</v>
      </c>
      <c r="Q198" s="71" t="str">
        <f t="shared" si="14"/>
        <v>2025-01</v>
      </c>
      <c r="R198" s="49">
        <f t="shared" si="15"/>
        <v>202501</v>
      </c>
    </row>
    <row r="199" spans="1:18" ht="15.75" customHeight="1">
      <c r="A199" s="69" t="s">
        <v>348</v>
      </c>
      <c r="B199" s="70">
        <v>45683</v>
      </c>
      <c r="C199" s="69" t="s">
        <v>52</v>
      </c>
      <c r="D199" s="69" t="s">
        <v>53</v>
      </c>
      <c r="E199" s="69" t="s">
        <v>21</v>
      </c>
      <c r="F199" s="69" t="s">
        <v>22</v>
      </c>
      <c r="G199" s="69" t="s">
        <v>23</v>
      </c>
      <c r="H199" s="69">
        <v>4</v>
      </c>
      <c r="I199" s="69">
        <v>249.99</v>
      </c>
      <c r="J199" s="69" t="s">
        <v>61</v>
      </c>
      <c r="K199" s="69" t="s">
        <v>25</v>
      </c>
      <c r="L199" s="69" t="s">
        <v>31</v>
      </c>
      <c r="M199" s="70">
        <v>45217</v>
      </c>
      <c r="N199" s="69">
        <v>999.96</v>
      </c>
      <c r="O199" s="47">
        <f t="shared" ca="1" si="12"/>
        <v>942</v>
      </c>
      <c r="P199" s="47">
        <f t="shared" ca="1" si="13"/>
        <v>476</v>
      </c>
      <c r="Q199" s="71" t="str">
        <f t="shared" si="14"/>
        <v>2025-01</v>
      </c>
      <c r="R199" s="49">
        <f t="shared" si="15"/>
        <v>202501</v>
      </c>
    </row>
    <row r="200" spans="1:18" ht="15.75" customHeight="1">
      <c r="A200" s="69" t="s">
        <v>349</v>
      </c>
      <c r="B200" s="70">
        <v>45686</v>
      </c>
      <c r="C200" s="69" t="s">
        <v>256</v>
      </c>
      <c r="D200" s="69" t="s">
        <v>257</v>
      </c>
      <c r="E200" s="69" t="s">
        <v>65</v>
      </c>
      <c r="F200" s="69" t="s">
        <v>66</v>
      </c>
      <c r="G200" s="69" t="s">
        <v>23</v>
      </c>
      <c r="H200" s="69">
        <v>4</v>
      </c>
      <c r="I200" s="69">
        <v>899.99</v>
      </c>
      <c r="J200" s="69" t="s">
        <v>38</v>
      </c>
      <c r="K200" s="69" t="s">
        <v>25</v>
      </c>
      <c r="L200" s="69" t="s">
        <v>26</v>
      </c>
      <c r="M200" s="70">
        <v>44734</v>
      </c>
      <c r="N200" s="69">
        <v>3599.96</v>
      </c>
      <c r="O200" s="47">
        <f t="shared" ca="1" si="12"/>
        <v>1425</v>
      </c>
      <c r="P200" s="47">
        <f t="shared" ca="1" si="13"/>
        <v>473</v>
      </c>
      <c r="Q200" s="71" t="str">
        <f t="shared" si="14"/>
        <v>2025-01</v>
      </c>
      <c r="R200" s="49">
        <f t="shared" si="15"/>
        <v>202501</v>
      </c>
    </row>
    <row r="201" spans="1:18" ht="15.75" customHeight="1">
      <c r="A201" s="69" t="s">
        <v>350</v>
      </c>
      <c r="B201" s="70">
        <v>45686</v>
      </c>
      <c r="C201" s="69" t="s">
        <v>90</v>
      </c>
      <c r="D201" s="69" t="s">
        <v>91</v>
      </c>
      <c r="E201" s="69" t="s">
        <v>109</v>
      </c>
      <c r="F201" s="69" t="s">
        <v>110</v>
      </c>
      <c r="G201" s="69" t="s">
        <v>50</v>
      </c>
      <c r="H201" s="69">
        <v>3</v>
      </c>
      <c r="I201" s="69">
        <v>299.99</v>
      </c>
      <c r="J201" s="69" t="s">
        <v>61</v>
      </c>
      <c r="K201" s="69" t="s">
        <v>54</v>
      </c>
      <c r="L201" s="69" t="s">
        <v>40</v>
      </c>
      <c r="M201" s="70">
        <v>44952</v>
      </c>
      <c r="N201" s="69">
        <v>899.97</v>
      </c>
      <c r="O201" s="47">
        <f t="shared" ca="1" si="12"/>
        <v>1207</v>
      </c>
      <c r="P201" s="47">
        <f t="shared" ca="1" si="13"/>
        <v>473</v>
      </c>
      <c r="Q201" s="71" t="str">
        <f t="shared" si="14"/>
        <v>2025-01</v>
      </c>
      <c r="R201" s="49">
        <f t="shared" si="15"/>
        <v>202501</v>
      </c>
    </row>
    <row r="202" spans="1:18" ht="15.75" customHeight="1">
      <c r="A202" s="69" t="s">
        <v>351</v>
      </c>
      <c r="B202" s="70">
        <v>45686</v>
      </c>
      <c r="C202" s="69" t="s">
        <v>297</v>
      </c>
      <c r="D202" s="69" t="s">
        <v>298</v>
      </c>
      <c r="E202" s="69" t="s">
        <v>84</v>
      </c>
      <c r="F202" s="69" t="s">
        <v>85</v>
      </c>
      <c r="G202" s="69" t="s">
        <v>23</v>
      </c>
      <c r="H202" s="69">
        <v>2</v>
      </c>
      <c r="I202" s="69">
        <v>699.99</v>
      </c>
      <c r="J202" s="69" t="s">
        <v>61</v>
      </c>
      <c r="K202" s="69" t="s">
        <v>25</v>
      </c>
      <c r="L202" s="69" t="s">
        <v>31</v>
      </c>
      <c r="M202" s="70">
        <v>44681</v>
      </c>
      <c r="N202" s="69">
        <v>1399.98</v>
      </c>
      <c r="O202" s="47">
        <f t="shared" ca="1" si="12"/>
        <v>1478</v>
      </c>
      <c r="P202" s="47">
        <f t="shared" ca="1" si="13"/>
        <v>473</v>
      </c>
      <c r="Q202" s="71" t="str">
        <f t="shared" si="14"/>
        <v>2025-01</v>
      </c>
      <c r="R202" s="49">
        <f t="shared" si="15"/>
        <v>202501</v>
      </c>
    </row>
    <row r="203" spans="1:18" ht="15.75" customHeight="1">
      <c r="A203" s="69" t="s">
        <v>352</v>
      </c>
      <c r="B203" s="70">
        <v>45688</v>
      </c>
      <c r="C203" s="69" t="s">
        <v>69</v>
      </c>
      <c r="D203" s="69" t="s">
        <v>70</v>
      </c>
      <c r="E203" s="69" t="s">
        <v>84</v>
      </c>
      <c r="F203" s="69" t="s">
        <v>85</v>
      </c>
      <c r="G203" s="69" t="s">
        <v>23</v>
      </c>
      <c r="H203" s="69">
        <v>4</v>
      </c>
      <c r="I203" s="69">
        <v>699.99</v>
      </c>
      <c r="J203" s="69" t="s">
        <v>61</v>
      </c>
      <c r="K203" s="69" t="s">
        <v>54</v>
      </c>
      <c r="L203" s="69" t="s">
        <v>31</v>
      </c>
      <c r="M203" s="70">
        <v>44692</v>
      </c>
      <c r="N203" s="69">
        <v>2799.96</v>
      </c>
      <c r="O203" s="47">
        <f t="shared" ca="1" si="12"/>
        <v>1467</v>
      </c>
      <c r="P203" s="47">
        <f t="shared" ca="1" si="13"/>
        <v>471</v>
      </c>
      <c r="Q203" s="71" t="str">
        <f t="shared" si="14"/>
        <v>2025-01</v>
      </c>
      <c r="R203" s="49">
        <f t="shared" si="15"/>
        <v>202501</v>
      </c>
    </row>
    <row r="204" spans="1:18" ht="15.75" customHeight="1">
      <c r="A204" s="69" t="s">
        <v>353</v>
      </c>
      <c r="B204" s="70">
        <v>45688</v>
      </c>
      <c r="C204" s="69" t="s">
        <v>127</v>
      </c>
      <c r="D204" s="69" t="s">
        <v>128</v>
      </c>
      <c r="E204" s="69" t="s">
        <v>121</v>
      </c>
      <c r="F204" s="69" t="s">
        <v>122</v>
      </c>
      <c r="G204" s="69" t="s">
        <v>23</v>
      </c>
      <c r="H204" s="69">
        <v>2</v>
      </c>
      <c r="I204" s="69">
        <v>89.99</v>
      </c>
      <c r="J204" s="69" t="s">
        <v>61</v>
      </c>
      <c r="K204" s="69" t="s">
        <v>39</v>
      </c>
      <c r="L204" s="69" t="s">
        <v>26</v>
      </c>
      <c r="M204" s="70">
        <v>44777</v>
      </c>
      <c r="N204" s="69">
        <v>179.98</v>
      </c>
      <c r="O204" s="47">
        <f t="shared" ca="1" si="12"/>
        <v>1382</v>
      </c>
      <c r="P204" s="47">
        <f t="shared" ca="1" si="13"/>
        <v>471</v>
      </c>
      <c r="Q204" s="71" t="str">
        <f t="shared" si="14"/>
        <v>2025-01</v>
      </c>
      <c r="R204" s="49">
        <f t="shared" si="15"/>
        <v>202501</v>
      </c>
    </row>
    <row r="205" spans="1:18" ht="15.75" customHeight="1">
      <c r="A205" s="69" t="s">
        <v>354</v>
      </c>
      <c r="B205" s="70">
        <v>45688</v>
      </c>
      <c r="C205" s="69" t="s">
        <v>46</v>
      </c>
      <c r="D205" s="69" t="s">
        <v>47</v>
      </c>
      <c r="E205" s="69" t="s">
        <v>121</v>
      </c>
      <c r="F205" s="69" t="s">
        <v>122</v>
      </c>
      <c r="G205" s="69" t="s">
        <v>23</v>
      </c>
      <c r="H205" s="69">
        <v>3</v>
      </c>
      <c r="I205" s="69">
        <v>89.99</v>
      </c>
      <c r="J205" s="69" t="s">
        <v>61</v>
      </c>
      <c r="K205" s="69" t="s">
        <v>39</v>
      </c>
      <c r="L205" s="69" t="s">
        <v>31</v>
      </c>
      <c r="M205" s="70">
        <v>45307</v>
      </c>
      <c r="N205" s="69">
        <v>269.97000000000003</v>
      </c>
      <c r="O205" s="47">
        <f t="shared" ca="1" si="12"/>
        <v>852</v>
      </c>
      <c r="P205" s="47">
        <f t="shared" ca="1" si="13"/>
        <v>471</v>
      </c>
      <c r="Q205" s="71" t="str">
        <f t="shared" si="14"/>
        <v>2025-01</v>
      </c>
      <c r="R205" s="49">
        <f t="shared" si="15"/>
        <v>202501</v>
      </c>
    </row>
    <row r="206" spans="1:18" ht="15.75" customHeight="1">
      <c r="A206" s="69" t="s">
        <v>355</v>
      </c>
      <c r="B206" s="70">
        <v>45692</v>
      </c>
      <c r="C206" s="69" t="s">
        <v>329</v>
      </c>
      <c r="D206" s="69" t="s">
        <v>330</v>
      </c>
      <c r="E206" s="69" t="s">
        <v>35</v>
      </c>
      <c r="F206" s="69" t="s">
        <v>36</v>
      </c>
      <c r="G206" s="69" t="s">
        <v>37</v>
      </c>
      <c r="H206" s="69">
        <v>1</v>
      </c>
      <c r="I206" s="69">
        <v>59.99</v>
      </c>
      <c r="J206" s="69" t="s">
        <v>61</v>
      </c>
      <c r="K206" s="69" t="s">
        <v>25</v>
      </c>
      <c r="L206" s="69" t="s">
        <v>40</v>
      </c>
      <c r="M206" s="70">
        <v>45045</v>
      </c>
      <c r="N206" s="69">
        <v>59.99</v>
      </c>
      <c r="O206" s="47">
        <f t="shared" ca="1" si="12"/>
        <v>1114</v>
      </c>
      <c r="P206" s="47">
        <f t="shared" ca="1" si="13"/>
        <v>467</v>
      </c>
      <c r="Q206" s="71" t="str">
        <f t="shared" si="14"/>
        <v>2025-02</v>
      </c>
      <c r="R206" s="49">
        <f t="shared" si="15"/>
        <v>202502</v>
      </c>
    </row>
    <row r="207" spans="1:18" ht="15.75" customHeight="1">
      <c r="A207" s="69" t="s">
        <v>356</v>
      </c>
      <c r="B207" s="70">
        <v>45695</v>
      </c>
      <c r="C207" s="69" t="s">
        <v>250</v>
      </c>
      <c r="D207" s="69" t="s">
        <v>251</v>
      </c>
      <c r="E207" s="69" t="s">
        <v>48</v>
      </c>
      <c r="F207" s="69" t="s">
        <v>49</v>
      </c>
      <c r="G207" s="69" t="s">
        <v>50</v>
      </c>
      <c r="H207" s="69">
        <v>3</v>
      </c>
      <c r="I207" s="69">
        <v>149.99</v>
      </c>
      <c r="J207" s="69" t="s">
        <v>61</v>
      </c>
      <c r="K207" s="69" t="s">
        <v>44</v>
      </c>
      <c r="L207" s="69" t="s">
        <v>31</v>
      </c>
      <c r="M207" s="70">
        <v>44564</v>
      </c>
      <c r="N207" s="69">
        <v>449.97</v>
      </c>
      <c r="O207" s="47">
        <f t="shared" ca="1" si="12"/>
        <v>1595</v>
      </c>
      <c r="P207" s="47">
        <f t="shared" ca="1" si="13"/>
        <v>464</v>
      </c>
      <c r="Q207" s="71" t="str">
        <f t="shared" si="14"/>
        <v>2025-02</v>
      </c>
      <c r="R207" s="49">
        <f t="shared" si="15"/>
        <v>202502</v>
      </c>
    </row>
    <row r="208" spans="1:18" ht="15.75" customHeight="1">
      <c r="A208" s="69" t="s">
        <v>357</v>
      </c>
      <c r="B208" s="70">
        <v>45695</v>
      </c>
      <c r="C208" s="69" t="s">
        <v>97</v>
      </c>
      <c r="D208" s="69" t="s">
        <v>98</v>
      </c>
      <c r="E208" s="69" t="s">
        <v>109</v>
      </c>
      <c r="F208" s="69" t="s">
        <v>110</v>
      </c>
      <c r="G208" s="69" t="s">
        <v>50</v>
      </c>
      <c r="H208" s="69">
        <v>5</v>
      </c>
      <c r="I208" s="69">
        <v>299.99</v>
      </c>
      <c r="J208" s="69" t="s">
        <v>30</v>
      </c>
      <c r="K208" s="69" t="s">
        <v>39</v>
      </c>
      <c r="L208" s="69" t="s">
        <v>26</v>
      </c>
      <c r="M208" s="70">
        <v>44959</v>
      </c>
      <c r="N208" s="69">
        <v>1499.95</v>
      </c>
      <c r="O208" s="47">
        <f t="shared" ca="1" si="12"/>
        <v>1200</v>
      </c>
      <c r="P208" s="47">
        <f t="shared" ca="1" si="13"/>
        <v>464</v>
      </c>
      <c r="Q208" s="71" t="str">
        <f t="shared" si="14"/>
        <v>2025-02</v>
      </c>
      <c r="R208" s="49">
        <f t="shared" si="15"/>
        <v>202502</v>
      </c>
    </row>
    <row r="209" spans="1:18" ht="15.75" customHeight="1">
      <c r="A209" s="69" t="s">
        <v>358</v>
      </c>
      <c r="B209" s="70">
        <v>45696</v>
      </c>
      <c r="C209" s="69" t="s">
        <v>154</v>
      </c>
      <c r="D209" s="69" t="s">
        <v>155</v>
      </c>
      <c r="E209" s="69" t="s">
        <v>35</v>
      </c>
      <c r="F209" s="69" t="s">
        <v>36</v>
      </c>
      <c r="G209" s="69" t="s">
        <v>37</v>
      </c>
      <c r="H209" s="69">
        <v>5</v>
      </c>
      <c r="I209" s="69">
        <v>59.99</v>
      </c>
      <c r="J209" s="69" t="s">
        <v>61</v>
      </c>
      <c r="K209" s="69" t="s">
        <v>25</v>
      </c>
      <c r="L209" s="69" t="s">
        <v>40</v>
      </c>
      <c r="M209" s="70">
        <v>45177</v>
      </c>
      <c r="N209" s="69">
        <v>299.95</v>
      </c>
      <c r="O209" s="47">
        <f t="shared" ca="1" si="12"/>
        <v>982</v>
      </c>
      <c r="P209" s="47">
        <f t="shared" ca="1" si="13"/>
        <v>463</v>
      </c>
      <c r="Q209" s="71" t="str">
        <f t="shared" si="14"/>
        <v>2025-02</v>
      </c>
      <c r="R209" s="49">
        <f t="shared" si="15"/>
        <v>202502</v>
      </c>
    </row>
    <row r="210" spans="1:18" ht="15.75" customHeight="1">
      <c r="A210" s="69" t="s">
        <v>359</v>
      </c>
      <c r="B210" s="70">
        <v>45701</v>
      </c>
      <c r="C210" s="69" t="s">
        <v>112</v>
      </c>
      <c r="D210" s="69" t="s">
        <v>113</v>
      </c>
      <c r="E210" s="69" t="s">
        <v>118</v>
      </c>
      <c r="F210" s="69" t="s">
        <v>119</v>
      </c>
      <c r="G210" s="69" t="s">
        <v>37</v>
      </c>
      <c r="H210" s="69">
        <v>3</v>
      </c>
      <c r="I210" s="69">
        <v>79.989999999999995</v>
      </c>
      <c r="J210" s="69" t="s">
        <v>24</v>
      </c>
      <c r="K210" s="69" t="s">
        <v>67</v>
      </c>
      <c r="L210" s="69" t="s">
        <v>31</v>
      </c>
      <c r="M210" s="70">
        <v>44436</v>
      </c>
      <c r="N210" s="69">
        <v>239.97</v>
      </c>
      <c r="O210" s="47">
        <f t="shared" ca="1" si="12"/>
        <v>1723</v>
      </c>
      <c r="P210" s="47">
        <f t="shared" ca="1" si="13"/>
        <v>458</v>
      </c>
      <c r="Q210" s="71" t="str">
        <f t="shared" si="14"/>
        <v>2025-02</v>
      </c>
      <c r="R210" s="49">
        <f t="shared" si="15"/>
        <v>202502</v>
      </c>
    </row>
    <row r="211" spans="1:18" ht="15.75" customHeight="1">
      <c r="A211" s="69" t="s">
        <v>360</v>
      </c>
      <c r="B211" s="70">
        <v>45704</v>
      </c>
      <c r="C211" s="69" t="s">
        <v>33</v>
      </c>
      <c r="D211" s="69" t="s">
        <v>34</v>
      </c>
      <c r="E211" s="69" t="s">
        <v>130</v>
      </c>
      <c r="F211" s="69" t="s">
        <v>131</v>
      </c>
      <c r="G211" s="69" t="s">
        <v>50</v>
      </c>
      <c r="H211" s="69">
        <v>3</v>
      </c>
      <c r="I211" s="69">
        <v>199.99</v>
      </c>
      <c r="J211" s="69" t="s">
        <v>24</v>
      </c>
      <c r="K211" s="69" t="s">
        <v>25</v>
      </c>
      <c r="L211" s="69" t="s">
        <v>26</v>
      </c>
      <c r="M211" s="70">
        <v>44735</v>
      </c>
      <c r="N211" s="69">
        <v>599.97</v>
      </c>
      <c r="O211" s="47">
        <f t="shared" ca="1" si="12"/>
        <v>1424</v>
      </c>
      <c r="P211" s="47">
        <f t="shared" ca="1" si="13"/>
        <v>455</v>
      </c>
      <c r="Q211" s="71" t="str">
        <f t="shared" si="14"/>
        <v>2025-02</v>
      </c>
      <c r="R211" s="49">
        <f t="shared" si="15"/>
        <v>202502</v>
      </c>
    </row>
    <row r="212" spans="1:18" ht="15.75" customHeight="1">
      <c r="A212" s="69" t="s">
        <v>361</v>
      </c>
      <c r="B212" s="70">
        <v>45704</v>
      </c>
      <c r="C212" s="69" t="s">
        <v>19</v>
      </c>
      <c r="D212" s="69" t="s">
        <v>20</v>
      </c>
      <c r="E212" s="69" t="s">
        <v>121</v>
      </c>
      <c r="F212" s="69" t="s">
        <v>122</v>
      </c>
      <c r="G212" s="69" t="s">
        <v>23</v>
      </c>
      <c r="H212" s="69">
        <v>2</v>
      </c>
      <c r="I212" s="69">
        <v>89.99</v>
      </c>
      <c r="J212" s="69" t="s">
        <v>38</v>
      </c>
      <c r="K212" s="69" t="s">
        <v>25</v>
      </c>
      <c r="L212" s="69" t="s">
        <v>26</v>
      </c>
      <c r="M212" s="70">
        <v>45257</v>
      </c>
      <c r="N212" s="69">
        <v>179.98</v>
      </c>
      <c r="O212" s="47">
        <f t="shared" ca="1" si="12"/>
        <v>902</v>
      </c>
      <c r="P212" s="47">
        <f t="shared" ca="1" si="13"/>
        <v>455</v>
      </c>
      <c r="Q212" s="71" t="str">
        <f t="shared" si="14"/>
        <v>2025-02</v>
      </c>
      <c r="R212" s="49">
        <f t="shared" si="15"/>
        <v>202502</v>
      </c>
    </row>
    <row r="213" spans="1:18" ht="15.75" customHeight="1">
      <c r="A213" s="69" t="s">
        <v>362</v>
      </c>
      <c r="B213" s="70">
        <v>45705</v>
      </c>
      <c r="C213" s="69" t="s">
        <v>263</v>
      </c>
      <c r="D213" s="69" t="s">
        <v>264</v>
      </c>
      <c r="E213" s="69" t="s">
        <v>48</v>
      </c>
      <c r="F213" s="69" t="s">
        <v>49</v>
      </c>
      <c r="G213" s="69" t="s">
        <v>50</v>
      </c>
      <c r="H213" s="69">
        <v>2</v>
      </c>
      <c r="I213" s="69">
        <v>149.99</v>
      </c>
      <c r="J213" s="69" t="s">
        <v>24</v>
      </c>
      <c r="K213" s="69" t="s">
        <v>39</v>
      </c>
      <c r="L213" s="69" t="s">
        <v>31</v>
      </c>
      <c r="M213" s="70">
        <v>44728</v>
      </c>
      <c r="N213" s="69">
        <v>299.98</v>
      </c>
      <c r="O213" s="47">
        <f t="shared" ca="1" si="12"/>
        <v>1431</v>
      </c>
      <c r="P213" s="47">
        <f t="shared" ca="1" si="13"/>
        <v>454</v>
      </c>
      <c r="Q213" s="71" t="str">
        <f t="shared" si="14"/>
        <v>2025-02</v>
      </c>
      <c r="R213" s="49">
        <f t="shared" si="15"/>
        <v>202502</v>
      </c>
    </row>
    <row r="214" spans="1:18" ht="15.75" customHeight="1">
      <c r="A214" s="69" t="s">
        <v>363</v>
      </c>
      <c r="B214" s="70">
        <v>45707</v>
      </c>
      <c r="C214" s="69" t="s">
        <v>127</v>
      </c>
      <c r="D214" s="69" t="s">
        <v>128</v>
      </c>
      <c r="E214" s="69" t="s">
        <v>84</v>
      </c>
      <c r="F214" s="69" t="s">
        <v>85</v>
      </c>
      <c r="G214" s="69" t="s">
        <v>23</v>
      </c>
      <c r="H214" s="69">
        <v>5</v>
      </c>
      <c r="I214" s="69">
        <v>699.99</v>
      </c>
      <c r="J214" s="69" t="s">
        <v>38</v>
      </c>
      <c r="K214" s="69" t="s">
        <v>39</v>
      </c>
      <c r="L214" s="69" t="s">
        <v>31</v>
      </c>
      <c r="M214" s="70">
        <v>45352</v>
      </c>
      <c r="N214" s="69">
        <v>3499.95</v>
      </c>
      <c r="O214" s="47">
        <f t="shared" ca="1" si="12"/>
        <v>807</v>
      </c>
      <c r="P214" s="47">
        <f t="shared" ca="1" si="13"/>
        <v>452</v>
      </c>
      <c r="Q214" s="71" t="str">
        <f t="shared" si="14"/>
        <v>2025-02</v>
      </c>
      <c r="R214" s="49">
        <f t="shared" si="15"/>
        <v>202502</v>
      </c>
    </row>
    <row r="215" spans="1:18" ht="15.75" customHeight="1">
      <c r="A215" s="69" t="s">
        <v>364</v>
      </c>
      <c r="B215" s="70">
        <v>45707</v>
      </c>
      <c r="C215" s="69" t="s">
        <v>46</v>
      </c>
      <c r="D215" s="69" t="s">
        <v>47</v>
      </c>
      <c r="E215" s="69" t="s">
        <v>48</v>
      </c>
      <c r="F215" s="69" t="s">
        <v>49</v>
      </c>
      <c r="G215" s="69" t="s">
        <v>50</v>
      </c>
      <c r="H215" s="69">
        <v>3</v>
      </c>
      <c r="I215" s="69">
        <v>149.99</v>
      </c>
      <c r="J215" s="69" t="s">
        <v>38</v>
      </c>
      <c r="K215" s="69" t="s">
        <v>25</v>
      </c>
      <c r="L215" s="69" t="s">
        <v>40</v>
      </c>
      <c r="M215" s="70">
        <v>44633</v>
      </c>
      <c r="N215" s="69">
        <v>449.97</v>
      </c>
      <c r="O215" s="47">
        <f t="shared" ca="1" si="12"/>
        <v>1526</v>
      </c>
      <c r="P215" s="47">
        <f t="shared" ca="1" si="13"/>
        <v>452</v>
      </c>
      <c r="Q215" s="71" t="str">
        <f t="shared" si="14"/>
        <v>2025-02</v>
      </c>
      <c r="R215" s="49">
        <f t="shared" si="15"/>
        <v>202502</v>
      </c>
    </row>
    <row r="216" spans="1:18" ht="15.75" customHeight="1">
      <c r="A216" s="69" t="s">
        <v>365</v>
      </c>
      <c r="B216" s="70">
        <v>45708</v>
      </c>
      <c r="C216" s="69" t="s">
        <v>100</v>
      </c>
      <c r="D216" s="69" t="s">
        <v>101</v>
      </c>
      <c r="E216" s="69" t="s">
        <v>65</v>
      </c>
      <c r="F216" s="69" t="s">
        <v>66</v>
      </c>
      <c r="G216" s="69" t="s">
        <v>23</v>
      </c>
      <c r="H216" s="69">
        <v>3</v>
      </c>
      <c r="I216" s="69">
        <v>899.99</v>
      </c>
      <c r="J216" s="69" t="s">
        <v>24</v>
      </c>
      <c r="K216" s="69" t="s">
        <v>67</v>
      </c>
      <c r="L216" s="69" t="s">
        <v>40</v>
      </c>
      <c r="M216" s="70">
        <v>44613</v>
      </c>
      <c r="N216" s="69">
        <v>2699.97</v>
      </c>
      <c r="O216" s="47">
        <f t="shared" ca="1" si="12"/>
        <v>1546</v>
      </c>
      <c r="P216" s="47">
        <f t="shared" ca="1" si="13"/>
        <v>451</v>
      </c>
      <c r="Q216" s="71" t="str">
        <f t="shared" si="14"/>
        <v>2025-02</v>
      </c>
      <c r="R216" s="49">
        <f t="shared" si="15"/>
        <v>202502</v>
      </c>
    </row>
    <row r="217" spans="1:18" ht="15.75" customHeight="1">
      <c r="A217" s="69" t="s">
        <v>366</v>
      </c>
      <c r="B217" s="70">
        <v>45708</v>
      </c>
      <c r="C217" s="69" t="s">
        <v>196</v>
      </c>
      <c r="D217" s="69" t="s">
        <v>197</v>
      </c>
      <c r="E217" s="69" t="s">
        <v>130</v>
      </c>
      <c r="F217" s="69" t="s">
        <v>131</v>
      </c>
      <c r="G217" s="69" t="s">
        <v>50</v>
      </c>
      <c r="H217" s="69">
        <v>3</v>
      </c>
      <c r="I217" s="69">
        <v>199.99</v>
      </c>
      <c r="J217" s="69" t="s">
        <v>24</v>
      </c>
      <c r="K217" s="69" t="s">
        <v>54</v>
      </c>
      <c r="L217" s="69" t="s">
        <v>31</v>
      </c>
      <c r="M217" s="70">
        <v>44823</v>
      </c>
      <c r="N217" s="69">
        <v>599.97</v>
      </c>
      <c r="O217" s="47">
        <f t="shared" ca="1" si="12"/>
        <v>1336</v>
      </c>
      <c r="P217" s="47">
        <f t="shared" ca="1" si="13"/>
        <v>451</v>
      </c>
      <c r="Q217" s="71" t="str">
        <f t="shared" si="14"/>
        <v>2025-02</v>
      </c>
      <c r="R217" s="49">
        <f t="shared" si="15"/>
        <v>202502</v>
      </c>
    </row>
    <row r="218" spans="1:18" ht="15.75" customHeight="1">
      <c r="A218" s="69" t="s">
        <v>367</v>
      </c>
      <c r="B218" s="70">
        <v>45710</v>
      </c>
      <c r="C218" s="69" t="s">
        <v>59</v>
      </c>
      <c r="D218" s="69" t="s">
        <v>60</v>
      </c>
      <c r="E218" s="69" t="s">
        <v>109</v>
      </c>
      <c r="F218" s="69" t="s">
        <v>110</v>
      </c>
      <c r="G218" s="69" t="s">
        <v>50</v>
      </c>
      <c r="H218" s="69">
        <v>5</v>
      </c>
      <c r="I218" s="69">
        <v>299.99</v>
      </c>
      <c r="J218" s="69" t="s">
        <v>24</v>
      </c>
      <c r="K218" s="69" t="s">
        <v>54</v>
      </c>
      <c r="L218" s="69" t="s">
        <v>40</v>
      </c>
      <c r="M218" s="70">
        <v>45142</v>
      </c>
      <c r="N218" s="69">
        <v>1499.95</v>
      </c>
      <c r="O218" s="47">
        <f t="shared" ca="1" si="12"/>
        <v>1017</v>
      </c>
      <c r="P218" s="47">
        <f t="shared" ca="1" si="13"/>
        <v>449</v>
      </c>
      <c r="Q218" s="71" t="str">
        <f t="shared" si="14"/>
        <v>2025-02</v>
      </c>
      <c r="R218" s="49">
        <f t="shared" si="15"/>
        <v>202502</v>
      </c>
    </row>
    <row r="219" spans="1:18" ht="15.75" customHeight="1">
      <c r="A219" s="69" t="s">
        <v>368</v>
      </c>
      <c r="B219" s="70">
        <v>45710</v>
      </c>
      <c r="C219" s="69" t="s">
        <v>154</v>
      </c>
      <c r="D219" s="69" t="s">
        <v>155</v>
      </c>
      <c r="E219" s="69" t="s">
        <v>84</v>
      </c>
      <c r="F219" s="69" t="s">
        <v>85</v>
      </c>
      <c r="G219" s="69" t="s">
        <v>23</v>
      </c>
      <c r="H219" s="69">
        <v>1</v>
      </c>
      <c r="I219" s="69">
        <v>699.99</v>
      </c>
      <c r="J219" s="69" t="s">
        <v>38</v>
      </c>
      <c r="K219" s="69" t="s">
        <v>54</v>
      </c>
      <c r="L219" s="69" t="s">
        <v>26</v>
      </c>
      <c r="M219" s="70">
        <v>44934</v>
      </c>
      <c r="N219" s="69">
        <v>699.99</v>
      </c>
      <c r="O219" s="47">
        <f t="shared" ca="1" si="12"/>
        <v>1225</v>
      </c>
      <c r="P219" s="47">
        <f t="shared" ca="1" si="13"/>
        <v>449</v>
      </c>
      <c r="Q219" s="71" t="str">
        <f t="shared" si="14"/>
        <v>2025-02</v>
      </c>
      <c r="R219" s="49">
        <f t="shared" si="15"/>
        <v>202502</v>
      </c>
    </row>
    <row r="220" spans="1:18" ht="15.75" customHeight="1">
      <c r="A220" s="69" t="s">
        <v>369</v>
      </c>
      <c r="B220" s="70">
        <v>45711</v>
      </c>
      <c r="C220" s="69" t="s">
        <v>250</v>
      </c>
      <c r="D220" s="69" t="s">
        <v>251</v>
      </c>
      <c r="E220" s="69" t="s">
        <v>84</v>
      </c>
      <c r="F220" s="69" t="s">
        <v>85</v>
      </c>
      <c r="G220" s="69" t="s">
        <v>23</v>
      </c>
      <c r="H220" s="69">
        <v>1</v>
      </c>
      <c r="I220" s="69">
        <v>699.99</v>
      </c>
      <c r="J220" s="69" t="s">
        <v>24</v>
      </c>
      <c r="K220" s="69" t="s">
        <v>44</v>
      </c>
      <c r="L220" s="69" t="s">
        <v>31</v>
      </c>
      <c r="M220" s="70">
        <v>44583</v>
      </c>
      <c r="N220" s="69">
        <v>699.99</v>
      </c>
      <c r="O220" s="47">
        <f t="shared" ca="1" si="12"/>
        <v>1576</v>
      </c>
      <c r="P220" s="47">
        <f t="shared" ca="1" si="13"/>
        <v>448</v>
      </c>
      <c r="Q220" s="71" t="str">
        <f t="shared" si="14"/>
        <v>2025-02</v>
      </c>
      <c r="R220" s="49">
        <f t="shared" si="15"/>
        <v>202502</v>
      </c>
    </row>
    <row r="221" spans="1:18" ht="15.75" customHeight="1">
      <c r="A221" s="69" t="s">
        <v>370</v>
      </c>
      <c r="B221" s="70">
        <v>45711</v>
      </c>
      <c r="C221" s="69" t="s">
        <v>329</v>
      </c>
      <c r="D221" s="69" t="s">
        <v>330</v>
      </c>
      <c r="E221" s="69" t="s">
        <v>48</v>
      </c>
      <c r="F221" s="69" t="s">
        <v>49</v>
      </c>
      <c r="G221" s="69" t="s">
        <v>50</v>
      </c>
      <c r="H221" s="69">
        <v>4</v>
      </c>
      <c r="I221" s="69">
        <v>149.99</v>
      </c>
      <c r="J221" s="69" t="s">
        <v>38</v>
      </c>
      <c r="K221" s="69" t="s">
        <v>44</v>
      </c>
      <c r="L221" s="69" t="s">
        <v>31</v>
      </c>
      <c r="M221" s="70">
        <v>44412</v>
      </c>
      <c r="N221" s="69">
        <v>599.96</v>
      </c>
      <c r="O221" s="47">
        <f t="shared" ca="1" si="12"/>
        <v>1747</v>
      </c>
      <c r="P221" s="47">
        <f t="shared" ca="1" si="13"/>
        <v>448</v>
      </c>
      <c r="Q221" s="71" t="str">
        <f t="shared" si="14"/>
        <v>2025-02</v>
      </c>
      <c r="R221" s="49">
        <f t="shared" si="15"/>
        <v>202502</v>
      </c>
    </row>
    <row r="222" spans="1:18" ht="15.75" customHeight="1">
      <c r="A222" s="69" t="s">
        <v>371</v>
      </c>
      <c r="B222" s="70">
        <v>45711</v>
      </c>
      <c r="C222" s="69" t="s">
        <v>215</v>
      </c>
      <c r="D222" s="69" t="s">
        <v>216</v>
      </c>
      <c r="E222" s="69" t="s">
        <v>121</v>
      </c>
      <c r="F222" s="69" t="s">
        <v>122</v>
      </c>
      <c r="G222" s="69" t="s">
        <v>23</v>
      </c>
      <c r="H222" s="69">
        <v>5</v>
      </c>
      <c r="I222" s="69">
        <v>89.99</v>
      </c>
      <c r="J222" s="69" t="s">
        <v>38</v>
      </c>
      <c r="K222" s="69" t="s">
        <v>54</v>
      </c>
      <c r="L222" s="69" t="s">
        <v>31</v>
      </c>
      <c r="M222" s="70">
        <v>45140</v>
      </c>
      <c r="N222" s="69">
        <v>449.95</v>
      </c>
      <c r="O222" s="47">
        <f t="shared" ca="1" si="12"/>
        <v>1019</v>
      </c>
      <c r="P222" s="47">
        <f t="shared" ca="1" si="13"/>
        <v>448</v>
      </c>
      <c r="Q222" s="71" t="str">
        <f t="shared" si="14"/>
        <v>2025-02</v>
      </c>
      <c r="R222" s="49">
        <f t="shared" si="15"/>
        <v>202502</v>
      </c>
    </row>
    <row r="223" spans="1:18" ht="15.75" customHeight="1">
      <c r="A223" s="69" t="s">
        <v>372</v>
      </c>
      <c r="B223" s="70">
        <v>45712</v>
      </c>
      <c r="C223" s="69" t="s">
        <v>142</v>
      </c>
      <c r="D223" s="69" t="s">
        <v>143</v>
      </c>
      <c r="E223" s="69" t="s">
        <v>130</v>
      </c>
      <c r="F223" s="69" t="s">
        <v>131</v>
      </c>
      <c r="G223" s="69" t="s">
        <v>50</v>
      </c>
      <c r="H223" s="69">
        <v>2</v>
      </c>
      <c r="I223" s="69">
        <v>199.99</v>
      </c>
      <c r="J223" s="69" t="s">
        <v>24</v>
      </c>
      <c r="K223" s="69" t="s">
        <v>25</v>
      </c>
      <c r="L223" s="69" t="s">
        <v>31</v>
      </c>
      <c r="M223" s="70">
        <v>44573</v>
      </c>
      <c r="N223" s="69">
        <v>399.98</v>
      </c>
      <c r="O223" s="47">
        <f t="shared" ca="1" si="12"/>
        <v>1586</v>
      </c>
      <c r="P223" s="47">
        <f t="shared" ca="1" si="13"/>
        <v>447</v>
      </c>
      <c r="Q223" s="71" t="str">
        <f t="shared" si="14"/>
        <v>2025-02</v>
      </c>
      <c r="R223" s="49">
        <f t="shared" si="15"/>
        <v>202502</v>
      </c>
    </row>
    <row r="224" spans="1:18" ht="15.75" customHeight="1">
      <c r="A224" s="69" t="s">
        <v>373</v>
      </c>
      <c r="B224" s="70">
        <v>45715</v>
      </c>
      <c r="C224" s="69" t="s">
        <v>263</v>
      </c>
      <c r="D224" s="69" t="s">
        <v>264</v>
      </c>
      <c r="E224" s="69" t="s">
        <v>35</v>
      </c>
      <c r="F224" s="69" t="s">
        <v>36</v>
      </c>
      <c r="G224" s="69" t="s">
        <v>37</v>
      </c>
      <c r="H224" s="69">
        <v>4</v>
      </c>
      <c r="I224" s="69">
        <v>59.99</v>
      </c>
      <c r="J224" s="69" t="s">
        <v>24</v>
      </c>
      <c r="K224" s="69" t="s">
        <v>54</v>
      </c>
      <c r="L224" s="69" t="s">
        <v>40</v>
      </c>
      <c r="M224" s="70">
        <v>45070</v>
      </c>
      <c r="N224" s="69">
        <v>239.96</v>
      </c>
      <c r="O224" s="47">
        <f t="shared" ca="1" si="12"/>
        <v>1089</v>
      </c>
      <c r="P224" s="47">
        <f t="shared" ca="1" si="13"/>
        <v>444</v>
      </c>
      <c r="Q224" s="71" t="str">
        <f t="shared" si="14"/>
        <v>2025-02</v>
      </c>
      <c r="R224" s="49">
        <f t="shared" si="15"/>
        <v>202502</v>
      </c>
    </row>
    <row r="225" spans="1:18" ht="15.75" customHeight="1">
      <c r="A225" s="69" t="s">
        <v>374</v>
      </c>
      <c r="B225" s="70">
        <v>45715</v>
      </c>
      <c r="C225" s="69" t="s">
        <v>97</v>
      </c>
      <c r="D225" s="69" t="s">
        <v>98</v>
      </c>
      <c r="E225" s="69" t="s">
        <v>109</v>
      </c>
      <c r="F225" s="69" t="s">
        <v>110</v>
      </c>
      <c r="G225" s="69" t="s">
        <v>50</v>
      </c>
      <c r="H225" s="69">
        <v>2</v>
      </c>
      <c r="I225" s="69">
        <v>299.99</v>
      </c>
      <c r="J225" s="69" t="s">
        <v>38</v>
      </c>
      <c r="K225" s="69" t="s">
        <v>39</v>
      </c>
      <c r="L225" s="69" t="s">
        <v>26</v>
      </c>
      <c r="M225" s="70">
        <v>44576</v>
      </c>
      <c r="N225" s="69">
        <v>599.98</v>
      </c>
      <c r="O225" s="47">
        <f t="shared" ca="1" si="12"/>
        <v>1583</v>
      </c>
      <c r="P225" s="47">
        <f t="shared" ca="1" si="13"/>
        <v>444</v>
      </c>
      <c r="Q225" s="71" t="str">
        <f t="shared" si="14"/>
        <v>2025-02</v>
      </c>
      <c r="R225" s="49">
        <f t="shared" si="15"/>
        <v>202502</v>
      </c>
    </row>
    <row r="226" spans="1:18" ht="15.75" customHeight="1">
      <c r="A226" s="69" t="s">
        <v>375</v>
      </c>
      <c r="B226" s="70">
        <v>45718</v>
      </c>
      <c r="C226" s="69" t="s">
        <v>59</v>
      </c>
      <c r="D226" s="69" t="s">
        <v>60</v>
      </c>
      <c r="E226" s="69" t="s">
        <v>48</v>
      </c>
      <c r="F226" s="69" t="s">
        <v>49</v>
      </c>
      <c r="G226" s="69" t="s">
        <v>50</v>
      </c>
      <c r="H226" s="69">
        <v>2</v>
      </c>
      <c r="I226" s="69">
        <v>149.99</v>
      </c>
      <c r="J226" s="69" t="s">
        <v>24</v>
      </c>
      <c r="K226" s="69" t="s">
        <v>25</v>
      </c>
      <c r="L226" s="69" t="s">
        <v>26</v>
      </c>
      <c r="M226" s="70">
        <v>45068</v>
      </c>
      <c r="N226" s="69">
        <v>299.98</v>
      </c>
      <c r="O226" s="47">
        <f t="shared" ca="1" si="12"/>
        <v>1091</v>
      </c>
      <c r="P226" s="47">
        <f t="shared" ca="1" si="13"/>
        <v>441</v>
      </c>
      <c r="Q226" s="71" t="str">
        <f t="shared" si="14"/>
        <v>2025-03</v>
      </c>
      <c r="R226" s="49">
        <f t="shared" si="15"/>
        <v>202503</v>
      </c>
    </row>
    <row r="227" spans="1:18" ht="15.75" customHeight="1">
      <c r="A227" s="69" t="s">
        <v>376</v>
      </c>
      <c r="B227" s="70">
        <v>45720</v>
      </c>
      <c r="C227" s="69" t="s">
        <v>230</v>
      </c>
      <c r="D227" s="69" t="s">
        <v>231</v>
      </c>
      <c r="E227" s="69" t="s">
        <v>84</v>
      </c>
      <c r="F227" s="69" t="s">
        <v>85</v>
      </c>
      <c r="G227" s="69" t="s">
        <v>23</v>
      </c>
      <c r="H227" s="69">
        <v>5</v>
      </c>
      <c r="I227" s="69">
        <v>699.99</v>
      </c>
      <c r="J227" s="69" t="s">
        <v>61</v>
      </c>
      <c r="K227" s="69" t="s">
        <v>67</v>
      </c>
      <c r="L227" s="69" t="s">
        <v>31</v>
      </c>
      <c r="M227" s="70">
        <v>45161</v>
      </c>
      <c r="N227" s="69">
        <v>3499.95</v>
      </c>
      <c r="O227" s="47">
        <f t="shared" ca="1" si="12"/>
        <v>998</v>
      </c>
      <c r="P227" s="47">
        <f t="shared" ca="1" si="13"/>
        <v>439</v>
      </c>
      <c r="Q227" s="71" t="str">
        <f t="shared" si="14"/>
        <v>2025-03</v>
      </c>
      <c r="R227" s="49">
        <f t="shared" si="15"/>
        <v>202503</v>
      </c>
    </row>
    <row r="228" spans="1:18" ht="15.75" customHeight="1">
      <c r="A228" s="69" t="s">
        <v>377</v>
      </c>
      <c r="B228" s="70">
        <v>45721</v>
      </c>
      <c r="C228" s="69" t="s">
        <v>79</v>
      </c>
      <c r="D228" s="69" t="s">
        <v>80</v>
      </c>
      <c r="E228" s="69" t="s">
        <v>35</v>
      </c>
      <c r="F228" s="69" t="s">
        <v>36</v>
      </c>
      <c r="G228" s="69" t="s">
        <v>37</v>
      </c>
      <c r="H228" s="69">
        <v>5</v>
      </c>
      <c r="I228" s="69">
        <v>59.99</v>
      </c>
      <c r="J228" s="69" t="s">
        <v>24</v>
      </c>
      <c r="K228" s="69" t="s">
        <v>54</v>
      </c>
      <c r="L228" s="69" t="s">
        <v>31</v>
      </c>
      <c r="M228" s="70">
        <v>45291</v>
      </c>
      <c r="N228" s="69">
        <v>299.95</v>
      </c>
      <c r="O228" s="47">
        <f t="shared" ca="1" si="12"/>
        <v>868</v>
      </c>
      <c r="P228" s="47">
        <f t="shared" ca="1" si="13"/>
        <v>438</v>
      </c>
      <c r="Q228" s="71" t="str">
        <f t="shared" si="14"/>
        <v>2025-03</v>
      </c>
      <c r="R228" s="49">
        <f t="shared" si="15"/>
        <v>202503</v>
      </c>
    </row>
    <row r="229" spans="1:18" ht="15.75" customHeight="1">
      <c r="A229" s="69" t="s">
        <v>378</v>
      </c>
      <c r="B229" s="70">
        <v>45723</v>
      </c>
      <c r="C229" s="69" t="s">
        <v>19</v>
      </c>
      <c r="D229" s="69" t="s">
        <v>20</v>
      </c>
      <c r="E229" s="69" t="s">
        <v>121</v>
      </c>
      <c r="F229" s="69" t="s">
        <v>122</v>
      </c>
      <c r="G229" s="69" t="s">
        <v>23</v>
      </c>
      <c r="H229" s="69">
        <v>2</v>
      </c>
      <c r="I229" s="69">
        <v>89.99</v>
      </c>
      <c r="J229" s="69" t="s">
        <v>30</v>
      </c>
      <c r="K229" s="69" t="s">
        <v>54</v>
      </c>
      <c r="L229" s="69" t="s">
        <v>31</v>
      </c>
      <c r="M229" s="70">
        <v>45295</v>
      </c>
      <c r="N229" s="69">
        <v>179.98</v>
      </c>
      <c r="O229" s="47">
        <f t="shared" ca="1" si="12"/>
        <v>864</v>
      </c>
      <c r="P229" s="47">
        <f t="shared" ca="1" si="13"/>
        <v>436</v>
      </c>
      <c r="Q229" s="71" t="str">
        <f t="shared" si="14"/>
        <v>2025-03</v>
      </c>
      <c r="R229" s="49">
        <f t="shared" si="15"/>
        <v>202503</v>
      </c>
    </row>
    <row r="230" spans="1:18" ht="15.75" customHeight="1">
      <c r="A230" s="69" t="s">
        <v>379</v>
      </c>
      <c r="B230" s="70">
        <v>45723</v>
      </c>
      <c r="C230" s="69" t="s">
        <v>124</v>
      </c>
      <c r="D230" s="69" t="s">
        <v>125</v>
      </c>
      <c r="E230" s="69" t="s">
        <v>21</v>
      </c>
      <c r="F230" s="69" t="s">
        <v>22</v>
      </c>
      <c r="G230" s="69" t="s">
        <v>23</v>
      </c>
      <c r="H230" s="69">
        <v>5</v>
      </c>
      <c r="I230" s="69">
        <v>249.99</v>
      </c>
      <c r="J230" s="69" t="s">
        <v>24</v>
      </c>
      <c r="K230" s="69" t="s">
        <v>67</v>
      </c>
      <c r="L230" s="69" t="s">
        <v>40</v>
      </c>
      <c r="M230" s="70">
        <v>44540</v>
      </c>
      <c r="N230" s="69">
        <v>1249.95</v>
      </c>
      <c r="O230" s="47">
        <f t="shared" ca="1" si="12"/>
        <v>1619</v>
      </c>
      <c r="P230" s="47">
        <f t="shared" ca="1" si="13"/>
        <v>436</v>
      </c>
      <c r="Q230" s="71" t="str">
        <f t="shared" si="14"/>
        <v>2025-03</v>
      </c>
      <c r="R230" s="49">
        <f t="shared" si="15"/>
        <v>202503</v>
      </c>
    </row>
    <row r="231" spans="1:18" ht="15.75" customHeight="1">
      <c r="A231" s="69" t="s">
        <v>380</v>
      </c>
      <c r="B231" s="70">
        <v>45724</v>
      </c>
      <c r="C231" s="69" t="s">
        <v>230</v>
      </c>
      <c r="D231" s="69" t="s">
        <v>231</v>
      </c>
      <c r="E231" s="69" t="s">
        <v>48</v>
      </c>
      <c r="F231" s="69" t="s">
        <v>49</v>
      </c>
      <c r="G231" s="69" t="s">
        <v>50</v>
      </c>
      <c r="H231" s="69">
        <v>2</v>
      </c>
      <c r="I231" s="69">
        <v>149.99</v>
      </c>
      <c r="J231" s="69" t="s">
        <v>38</v>
      </c>
      <c r="K231" s="69" t="s">
        <v>25</v>
      </c>
      <c r="L231" s="69" t="s">
        <v>31</v>
      </c>
      <c r="M231" s="70">
        <v>44632</v>
      </c>
      <c r="N231" s="69">
        <v>299.98</v>
      </c>
      <c r="O231" s="47">
        <f t="shared" ca="1" si="12"/>
        <v>1527</v>
      </c>
      <c r="P231" s="47">
        <f t="shared" ca="1" si="13"/>
        <v>435</v>
      </c>
      <c r="Q231" s="71" t="str">
        <f t="shared" si="14"/>
        <v>2025-03</v>
      </c>
      <c r="R231" s="49">
        <f t="shared" si="15"/>
        <v>202503</v>
      </c>
    </row>
    <row r="232" spans="1:18" ht="15.75" customHeight="1">
      <c r="A232" s="69" t="s">
        <v>381</v>
      </c>
      <c r="B232" s="70">
        <v>45724</v>
      </c>
      <c r="C232" s="69" t="s">
        <v>148</v>
      </c>
      <c r="D232" s="69" t="s">
        <v>149</v>
      </c>
      <c r="E232" s="69" t="s">
        <v>65</v>
      </c>
      <c r="F232" s="69" t="s">
        <v>66</v>
      </c>
      <c r="G232" s="69" t="s">
        <v>23</v>
      </c>
      <c r="H232" s="69">
        <v>5</v>
      </c>
      <c r="I232" s="69">
        <v>899.99</v>
      </c>
      <c r="J232" s="69" t="s">
        <v>38</v>
      </c>
      <c r="K232" s="69" t="s">
        <v>67</v>
      </c>
      <c r="L232" s="69" t="s">
        <v>31</v>
      </c>
      <c r="M232" s="70">
        <v>45389</v>
      </c>
      <c r="N232" s="69">
        <v>4499.95</v>
      </c>
      <c r="O232" s="47">
        <f t="shared" ca="1" si="12"/>
        <v>770</v>
      </c>
      <c r="P232" s="47">
        <f t="shared" ca="1" si="13"/>
        <v>435</v>
      </c>
      <c r="Q232" s="71" t="str">
        <f t="shared" si="14"/>
        <v>2025-03</v>
      </c>
      <c r="R232" s="49">
        <f t="shared" si="15"/>
        <v>202503</v>
      </c>
    </row>
    <row r="233" spans="1:18" ht="15.75" customHeight="1">
      <c r="A233" s="69" t="s">
        <v>382</v>
      </c>
      <c r="B233" s="70">
        <v>45724</v>
      </c>
      <c r="C233" s="69" t="s">
        <v>59</v>
      </c>
      <c r="D233" s="69" t="s">
        <v>60</v>
      </c>
      <c r="E233" s="69" t="s">
        <v>48</v>
      </c>
      <c r="F233" s="69" t="s">
        <v>49</v>
      </c>
      <c r="G233" s="69" t="s">
        <v>50</v>
      </c>
      <c r="H233" s="69">
        <v>4</v>
      </c>
      <c r="I233" s="69">
        <v>149.99</v>
      </c>
      <c r="J233" s="69" t="s">
        <v>24</v>
      </c>
      <c r="K233" s="69" t="s">
        <v>25</v>
      </c>
      <c r="L233" s="69" t="s">
        <v>40</v>
      </c>
      <c r="M233" s="70">
        <v>45263</v>
      </c>
      <c r="N233" s="69">
        <v>599.96</v>
      </c>
      <c r="O233" s="47">
        <f t="shared" ca="1" si="12"/>
        <v>896</v>
      </c>
      <c r="P233" s="47">
        <f t="shared" ca="1" si="13"/>
        <v>435</v>
      </c>
      <c r="Q233" s="71" t="str">
        <f t="shared" si="14"/>
        <v>2025-03</v>
      </c>
      <c r="R233" s="49">
        <f t="shared" si="15"/>
        <v>202503</v>
      </c>
    </row>
    <row r="234" spans="1:18" ht="15.75" customHeight="1">
      <c r="A234" s="69" t="s">
        <v>383</v>
      </c>
      <c r="B234" s="70">
        <v>45726</v>
      </c>
      <c r="C234" s="69" t="s">
        <v>148</v>
      </c>
      <c r="D234" s="69" t="s">
        <v>149</v>
      </c>
      <c r="E234" s="69" t="s">
        <v>21</v>
      </c>
      <c r="F234" s="69" t="s">
        <v>22</v>
      </c>
      <c r="G234" s="69" t="s">
        <v>23</v>
      </c>
      <c r="H234" s="69">
        <v>1</v>
      </c>
      <c r="I234" s="69">
        <v>249.99</v>
      </c>
      <c r="J234" s="69" t="s">
        <v>24</v>
      </c>
      <c r="K234" s="69" t="s">
        <v>44</v>
      </c>
      <c r="L234" s="69" t="s">
        <v>40</v>
      </c>
      <c r="M234" s="70">
        <v>45117</v>
      </c>
      <c r="N234" s="69">
        <v>249.99</v>
      </c>
      <c r="O234" s="47">
        <f t="shared" ca="1" si="12"/>
        <v>1042</v>
      </c>
      <c r="P234" s="47">
        <f t="shared" ca="1" si="13"/>
        <v>433</v>
      </c>
      <c r="Q234" s="71" t="str">
        <f t="shared" si="14"/>
        <v>2025-03</v>
      </c>
      <c r="R234" s="49">
        <f t="shared" si="15"/>
        <v>202503</v>
      </c>
    </row>
    <row r="235" spans="1:18" ht="15.75" customHeight="1">
      <c r="A235" s="69" t="s">
        <v>384</v>
      </c>
      <c r="B235" s="70">
        <v>45734</v>
      </c>
      <c r="C235" s="69" t="s">
        <v>196</v>
      </c>
      <c r="D235" s="69" t="s">
        <v>197</v>
      </c>
      <c r="E235" s="69" t="s">
        <v>35</v>
      </c>
      <c r="F235" s="69" t="s">
        <v>36</v>
      </c>
      <c r="G235" s="69" t="s">
        <v>37</v>
      </c>
      <c r="H235" s="69">
        <v>2</v>
      </c>
      <c r="I235" s="69">
        <v>59.99</v>
      </c>
      <c r="J235" s="69" t="s">
        <v>30</v>
      </c>
      <c r="K235" s="69" t="s">
        <v>54</v>
      </c>
      <c r="L235" s="69" t="s">
        <v>26</v>
      </c>
      <c r="M235" s="70">
        <v>45193</v>
      </c>
      <c r="N235" s="69">
        <v>119.98</v>
      </c>
      <c r="O235" s="47">
        <f t="shared" ca="1" si="12"/>
        <v>966</v>
      </c>
      <c r="P235" s="47">
        <f t="shared" ca="1" si="13"/>
        <v>425</v>
      </c>
      <c r="Q235" s="71" t="str">
        <f t="shared" si="14"/>
        <v>2025-03</v>
      </c>
      <c r="R235" s="49">
        <f t="shared" si="15"/>
        <v>202503</v>
      </c>
    </row>
    <row r="236" spans="1:18" ht="15.75" customHeight="1">
      <c r="A236" s="69" t="s">
        <v>385</v>
      </c>
      <c r="B236" s="70">
        <v>45737</v>
      </c>
      <c r="C236" s="69" t="s">
        <v>136</v>
      </c>
      <c r="D236" s="69" t="s">
        <v>137</v>
      </c>
      <c r="E236" s="69" t="s">
        <v>48</v>
      </c>
      <c r="F236" s="69" t="s">
        <v>49</v>
      </c>
      <c r="G236" s="69" t="s">
        <v>50</v>
      </c>
      <c r="H236" s="69">
        <v>2</v>
      </c>
      <c r="I236" s="69">
        <v>149.99</v>
      </c>
      <c r="J236" s="69" t="s">
        <v>24</v>
      </c>
      <c r="K236" s="69" t="s">
        <v>54</v>
      </c>
      <c r="L236" s="69" t="s">
        <v>31</v>
      </c>
      <c r="M236" s="70">
        <v>45233</v>
      </c>
      <c r="N236" s="69">
        <v>299.98</v>
      </c>
      <c r="O236" s="47">
        <f t="shared" ca="1" si="12"/>
        <v>926</v>
      </c>
      <c r="P236" s="47">
        <f t="shared" ca="1" si="13"/>
        <v>422</v>
      </c>
      <c r="Q236" s="71" t="str">
        <f t="shared" si="14"/>
        <v>2025-03</v>
      </c>
      <c r="R236" s="49">
        <f t="shared" si="15"/>
        <v>202503</v>
      </c>
    </row>
    <row r="237" spans="1:18" ht="15.75" customHeight="1">
      <c r="A237" s="69" t="s">
        <v>386</v>
      </c>
      <c r="B237" s="70">
        <v>45737</v>
      </c>
      <c r="C237" s="69" t="s">
        <v>154</v>
      </c>
      <c r="D237" s="69" t="s">
        <v>155</v>
      </c>
      <c r="E237" s="69" t="s">
        <v>65</v>
      </c>
      <c r="F237" s="69" t="s">
        <v>66</v>
      </c>
      <c r="G237" s="69" t="s">
        <v>23</v>
      </c>
      <c r="H237" s="69">
        <v>3</v>
      </c>
      <c r="I237" s="69">
        <v>899.99</v>
      </c>
      <c r="J237" s="69" t="s">
        <v>61</v>
      </c>
      <c r="K237" s="69" t="s">
        <v>44</v>
      </c>
      <c r="L237" s="69" t="s">
        <v>31</v>
      </c>
      <c r="M237" s="70">
        <v>44876</v>
      </c>
      <c r="N237" s="69">
        <v>2699.97</v>
      </c>
      <c r="O237" s="47">
        <f t="shared" ca="1" si="12"/>
        <v>1283</v>
      </c>
      <c r="P237" s="47">
        <f t="shared" ca="1" si="13"/>
        <v>422</v>
      </c>
      <c r="Q237" s="71" t="str">
        <f t="shared" si="14"/>
        <v>2025-03</v>
      </c>
      <c r="R237" s="49">
        <f t="shared" si="15"/>
        <v>202503</v>
      </c>
    </row>
    <row r="238" spans="1:18" ht="15.75" customHeight="1">
      <c r="A238" s="69" t="s">
        <v>387</v>
      </c>
      <c r="B238" s="70">
        <v>45737</v>
      </c>
      <c r="C238" s="69" t="s">
        <v>52</v>
      </c>
      <c r="D238" s="69" t="s">
        <v>53</v>
      </c>
      <c r="E238" s="69" t="s">
        <v>65</v>
      </c>
      <c r="F238" s="69" t="s">
        <v>66</v>
      </c>
      <c r="G238" s="69" t="s">
        <v>23</v>
      </c>
      <c r="H238" s="69">
        <v>3</v>
      </c>
      <c r="I238" s="69">
        <v>899.99</v>
      </c>
      <c r="J238" s="69" t="s">
        <v>38</v>
      </c>
      <c r="K238" s="69" t="s">
        <v>44</v>
      </c>
      <c r="L238" s="69" t="s">
        <v>26</v>
      </c>
      <c r="M238" s="70">
        <v>44975</v>
      </c>
      <c r="N238" s="69">
        <v>2699.97</v>
      </c>
      <c r="O238" s="47">
        <f t="shared" ca="1" si="12"/>
        <v>1184</v>
      </c>
      <c r="P238" s="47">
        <f t="shared" ca="1" si="13"/>
        <v>422</v>
      </c>
      <c r="Q238" s="71" t="str">
        <f t="shared" si="14"/>
        <v>2025-03</v>
      </c>
      <c r="R238" s="49">
        <f t="shared" si="15"/>
        <v>202503</v>
      </c>
    </row>
    <row r="239" spans="1:18" ht="15.75" customHeight="1">
      <c r="A239" s="69" t="s">
        <v>388</v>
      </c>
      <c r="B239" s="70">
        <v>45739</v>
      </c>
      <c r="C239" s="69" t="s">
        <v>19</v>
      </c>
      <c r="D239" s="69" t="s">
        <v>20</v>
      </c>
      <c r="E239" s="69" t="s">
        <v>109</v>
      </c>
      <c r="F239" s="69" t="s">
        <v>110</v>
      </c>
      <c r="G239" s="69" t="s">
        <v>50</v>
      </c>
      <c r="H239" s="69">
        <v>3</v>
      </c>
      <c r="I239" s="69">
        <v>299.99</v>
      </c>
      <c r="J239" s="69" t="s">
        <v>30</v>
      </c>
      <c r="K239" s="69" t="s">
        <v>54</v>
      </c>
      <c r="L239" s="69" t="s">
        <v>31</v>
      </c>
      <c r="M239" s="70">
        <v>45234</v>
      </c>
      <c r="N239" s="69">
        <v>899.97</v>
      </c>
      <c r="O239" s="47">
        <f t="shared" ca="1" si="12"/>
        <v>925</v>
      </c>
      <c r="P239" s="47">
        <f t="shared" ca="1" si="13"/>
        <v>420</v>
      </c>
      <c r="Q239" s="71" t="str">
        <f t="shared" si="14"/>
        <v>2025-03</v>
      </c>
      <c r="R239" s="49">
        <f t="shared" si="15"/>
        <v>202503</v>
      </c>
    </row>
    <row r="240" spans="1:18" ht="15.75" customHeight="1">
      <c r="A240" s="69" t="s">
        <v>389</v>
      </c>
      <c r="B240" s="70">
        <v>45740</v>
      </c>
      <c r="C240" s="69" t="s">
        <v>390</v>
      </c>
      <c r="D240" s="69" t="s">
        <v>391</v>
      </c>
      <c r="E240" s="69" t="s">
        <v>48</v>
      </c>
      <c r="F240" s="69" t="s">
        <v>49</v>
      </c>
      <c r="G240" s="69" t="s">
        <v>50</v>
      </c>
      <c r="H240" s="69">
        <v>4</v>
      </c>
      <c r="I240" s="69">
        <v>149.99</v>
      </c>
      <c r="J240" s="69" t="s">
        <v>38</v>
      </c>
      <c r="K240" s="69" t="s">
        <v>54</v>
      </c>
      <c r="L240" s="69" t="s">
        <v>40</v>
      </c>
      <c r="M240" s="70">
        <v>44560</v>
      </c>
      <c r="N240" s="69">
        <v>599.96</v>
      </c>
      <c r="O240" s="47">
        <f t="shared" ca="1" si="12"/>
        <v>1599</v>
      </c>
      <c r="P240" s="47">
        <f t="shared" ca="1" si="13"/>
        <v>419</v>
      </c>
      <c r="Q240" s="71" t="str">
        <f t="shared" si="14"/>
        <v>2025-03</v>
      </c>
      <c r="R240" s="49">
        <f t="shared" si="15"/>
        <v>202503</v>
      </c>
    </row>
    <row r="241" spans="1:18" ht="15.75" customHeight="1">
      <c r="A241" s="69" t="s">
        <v>392</v>
      </c>
      <c r="B241" s="70">
        <v>45743</v>
      </c>
      <c r="C241" s="69" t="s">
        <v>106</v>
      </c>
      <c r="D241" s="69" t="s">
        <v>107</v>
      </c>
      <c r="E241" s="69" t="s">
        <v>118</v>
      </c>
      <c r="F241" s="69" t="s">
        <v>119</v>
      </c>
      <c r="G241" s="69" t="s">
        <v>37</v>
      </c>
      <c r="H241" s="69">
        <v>4</v>
      </c>
      <c r="I241" s="69">
        <v>79.989999999999995</v>
      </c>
      <c r="J241" s="69" t="s">
        <v>30</v>
      </c>
      <c r="K241" s="69" t="s">
        <v>25</v>
      </c>
      <c r="L241" s="69" t="s">
        <v>26</v>
      </c>
      <c r="M241" s="70">
        <v>45288</v>
      </c>
      <c r="N241" s="69">
        <v>319.95999999999998</v>
      </c>
      <c r="O241" s="47">
        <f t="shared" ca="1" si="12"/>
        <v>871</v>
      </c>
      <c r="P241" s="47">
        <f t="shared" ca="1" si="13"/>
        <v>416</v>
      </c>
      <c r="Q241" s="71" t="str">
        <f t="shared" si="14"/>
        <v>2025-03</v>
      </c>
      <c r="R241" s="49">
        <f t="shared" si="15"/>
        <v>202503</v>
      </c>
    </row>
    <row r="242" spans="1:18" ht="15.75" customHeight="1">
      <c r="A242" s="69" t="s">
        <v>393</v>
      </c>
      <c r="B242" s="70">
        <v>45745</v>
      </c>
      <c r="C242" s="69" t="s">
        <v>189</v>
      </c>
      <c r="D242" s="69" t="s">
        <v>190</v>
      </c>
      <c r="E242" s="69" t="s">
        <v>121</v>
      </c>
      <c r="F242" s="69" t="s">
        <v>122</v>
      </c>
      <c r="G242" s="69" t="s">
        <v>23</v>
      </c>
      <c r="H242" s="69">
        <v>5</v>
      </c>
      <c r="I242" s="69">
        <v>89.99</v>
      </c>
      <c r="J242" s="69" t="s">
        <v>38</v>
      </c>
      <c r="K242" s="69" t="s">
        <v>39</v>
      </c>
      <c r="L242" s="69" t="s">
        <v>26</v>
      </c>
      <c r="M242" s="70">
        <v>44704</v>
      </c>
      <c r="N242" s="69">
        <v>449.95</v>
      </c>
      <c r="O242" s="47">
        <f t="shared" ca="1" si="12"/>
        <v>1455</v>
      </c>
      <c r="P242" s="47">
        <f t="shared" ca="1" si="13"/>
        <v>414</v>
      </c>
      <c r="Q242" s="71" t="str">
        <f t="shared" si="14"/>
        <v>2025-03</v>
      </c>
      <c r="R242" s="49">
        <f t="shared" si="15"/>
        <v>202503</v>
      </c>
    </row>
    <row r="243" spans="1:18" ht="15.75" customHeight="1">
      <c r="A243" s="69" t="s">
        <v>394</v>
      </c>
      <c r="B243" s="70">
        <v>45746</v>
      </c>
      <c r="C243" s="69" t="s">
        <v>97</v>
      </c>
      <c r="D243" s="69" t="s">
        <v>98</v>
      </c>
      <c r="E243" s="69" t="s">
        <v>48</v>
      </c>
      <c r="F243" s="69" t="s">
        <v>49</v>
      </c>
      <c r="G243" s="69" t="s">
        <v>50</v>
      </c>
      <c r="H243" s="69">
        <v>3</v>
      </c>
      <c r="I243" s="69">
        <v>149.99</v>
      </c>
      <c r="J243" s="69" t="s">
        <v>38</v>
      </c>
      <c r="K243" s="69" t="s">
        <v>25</v>
      </c>
      <c r="L243" s="69" t="s">
        <v>40</v>
      </c>
      <c r="M243" s="70">
        <v>45171</v>
      </c>
      <c r="N243" s="69">
        <v>449.97</v>
      </c>
      <c r="O243" s="47">
        <f t="shared" ca="1" si="12"/>
        <v>988</v>
      </c>
      <c r="P243" s="47">
        <f t="shared" ca="1" si="13"/>
        <v>413</v>
      </c>
      <c r="Q243" s="71" t="str">
        <f t="shared" si="14"/>
        <v>2025-03</v>
      </c>
      <c r="R243" s="49">
        <f t="shared" si="15"/>
        <v>202503</v>
      </c>
    </row>
    <row r="244" spans="1:18" ht="15.75" customHeight="1">
      <c r="A244" s="69" t="s">
        <v>395</v>
      </c>
      <c r="B244" s="70">
        <v>45746</v>
      </c>
      <c r="C244" s="69" t="s">
        <v>69</v>
      </c>
      <c r="D244" s="69" t="s">
        <v>70</v>
      </c>
      <c r="E244" s="69" t="s">
        <v>121</v>
      </c>
      <c r="F244" s="69" t="s">
        <v>122</v>
      </c>
      <c r="G244" s="69" t="s">
        <v>23</v>
      </c>
      <c r="H244" s="69">
        <v>2</v>
      </c>
      <c r="I244" s="69">
        <v>89.99</v>
      </c>
      <c r="J244" s="69" t="s">
        <v>61</v>
      </c>
      <c r="K244" s="69" t="s">
        <v>54</v>
      </c>
      <c r="L244" s="69" t="s">
        <v>31</v>
      </c>
      <c r="M244" s="70">
        <v>44522</v>
      </c>
      <c r="N244" s="69">
        <v>179.98</v>
      </c>
      <c r="O244" s="47">
        <f t="shared" ca="1" si="12"/>
        <v>1637</v>
      </c>
      <c r="P244" s="47">
        <f t="shared" ca="1" si="13"/>
        <v>413</v>
      </c>
      <c r="Q244" s="71" t="str">
        <f t="shared" si="14"/>
        <v>2025-03</v>
      </c>
      <c r="R244" s="49">
        <f t="shared" si="15"/>
        <v>202503</v>
      </c>
    </row>
    <row r="245" spans="1:18" ht="15.75" customHeight="1">
      <c r="A245" s="69" t="s">
        <v>396</v>
      </c>
      <c r="B245" s="70">
        <v>45748</v>
      </c>
      <c r="C245" s="69" t="s">
        <v>106</v>
      </c>
      <c r="D245" s="69" t="s">
        <v>107</v>
      </c>
      <c r="E245" s="69" t="s">
        <v>84</v>
      </c>
      <c r="F245" s="69" t="s">
        <v>85</v>
      </c>
      <c r="G245" s="69" t="s">
        <v>23</v>
      </c>
      <c r="H245" s="69">
        <v>2</v>
      </c>
      <c r="I245" s="69">
        <v>699.99</v>
      </c>
      <c r="J245" s="69" t="s">
        <v>38</v>
      </c>
      <c r="K245" s="69" t="s">
        <v>44</v>
      </c>
      <c r="L245" s="69" t="s">
        <v>40</v>
      </c>
      <c r="M245" s="70">
        <v>44618</v>
      </c>
      <c r="N245" s="69">
        <v>1399.98</v>
      </c>
      <c r="O245" s="47">
        <f t="shared" ca="1" si="12"/>
        <v>1541</v>
      </c>
      <c r="P245" s="47">
        <f t="shared" ca="1" si="13"/>
        <v>411</v>
      </c>
      <c r="Q245" s="71" t="str">
        <f t="shared" si="14"/>
        <v>2025-04</v>
      </c>
      <c r="R245" s="49">
        <f t="shared" si="15"/>
        <v>202504</v>
      </c>
    </row>
    <row r="246" spans="1:18" ht="15.75" customHeight="1">
      <c r="A246" s="69" t="s">
        <v>397</v>
      </c>
      <c r="B246" s="70">
        <v>45749</v>
      </c>
      <c r="C246" s="69" t="s">
        <v>127</v>
      </c>
      <c r="D246" s="69" t="s">
        <v>128</v>
      </c>
      <c r="E246" s="69" t="s">
        <v>65</v>
      </c>
      <c r="F246" s="69" t="s">
        <v>66</v>
      </c>
      <c r="G246" s="69" t="s">
        <v>23</v>
      </c>
      <c r="H246" s="69">
        <v>3</v>
      </c>
      <c r="I246" s="69">
        <v>899.99</v>
      </c>
      <c r="J246" s="69" t="s">
        <v>24</v>
      </c>
      <c r="K246" s="69" t="s">
        <v>25</v>
      </c>
      <c r="L246" s="69" t="s">
        <v>40</v>
      </c>
      <c r="M246" s="70">
        <v>44953</v>
      </c>
      <c r="N246" s="69">
        <v>2699.97</v>
      </c>
      <c r="O246" s="47">
        <f t="shared" ca="1" si="12"/>
        <v>1206</v>
      </c>
      <c r="P246" s="47">
        <f t="shared" ca="1" si="13"/>
        <v>410</v>
      </c>
      <c r="Q246" s="71" t="str">
        <f t="shared" si="14"/>
        <v>2025-04</v>
      </c>
      <c r="R246" s="49">
        <f t="shared" si="15"/>
        <v>202504</v>
      </c>
    </row>
    <row r="247" spans="1:18" ht="15.75" customHeight="1">
      <c r="A247" s="69" t="s">
        <v>398</v>
      </c>
      <c r="B247" s="70">
        <v>45755</v>
      </c>
      <c r="C247" s="69" t="s">
        <v>97</v>
      </c>
      <c r="D247" s="69" t="s">
        <v>98</v>
      </c>
      <c r="E247" s="69" t="s">
        <v>118</v>
      </c>
      <c r="F247" s="69" t="s">
        <v>119</v>
      </c>
      <c r="G247" s="69" t="s">
        <v>37</v>
      </c>
      <c r="H247" s="69">
        <v>3</v>
      </c>
      <c r="I247" s="69">
        <v>79.989999999999995</v>
      </c>
      <c r="J247" s="69" t="s">
        <v>30</v>
      </c>
      <c r="K247" s="69" t="s">
        <v>44</v>
      </c>
      <c r="L247" s="69" t="s">
        <v>26</v>
      </c>
      <c r="M247" s="70">
        <v>44511</v>
      </c>
      <c r="N247" s="69">
        <v>239.97</v>
      </c>
      <c r="O247" s="47">
        <f t="shared" ca="1" si="12"/>
        <v>1648</v>
      </c>
      <c r="P247" s="47">
        <f t="shared" ca="1" si="13"/>
        <v>404</v>
      </c>
      <c r="Q247" s="71" t="str">
        <f t="shared" si="14"/>
        <v>2025-04</v>
      </c>
      <c r="R247" s="49">
        <f t="shared" si="15"/>
        <v>202504</v>
      </c>
    </row>
    <row r="248" spans="1:18" ht="15.75" customHeight="1">
      <c r="A248" s="69" t="s">
        <v>399</v>
      </c>
      <c r="B248" s="70">
        <v>45756</v>
      </c>
      <c r="C248" s="69" t="s">
        <v>63</v>
      </c>
      <c r="D248" s="69" t="s">
        <v>64</v>
      </c>
      <c r="E248" s="69" t="s">
        <v>121</v>
      </c>
      <c r="F248" s="69" t="s">
        <v>122</v>
      </c>
      <c r="G248" s="69" t="s">
        <v>23</v>
      </c>
      <c r="H248" s="69">
        <v>1</v>
      </c>
      <c r="I248" s="69">
        <v>89.99</v>
      </c>
      <c r="J248" s="69" t="s">
        <v>61</v>
      </c>
      <c r="K248" s="69" t="s">
        <v>67</v>
      </c>
      <c r="L248" s="69" t="s">
        <v>26</v>
      </c>
      <c r="M248" s="70">
        <v>45346</v>
      </c>
      <c r="N248" s="69">
        <v>89.99</v>
      </c>
      <c r="O248" s="47">
        <f t="shared" ca="1" si="12"/>
        <v>813</v>
      </c>
      <c r="P248" s="47">
        <f t="shared" ca="1" si="13"/>
        <v>403</v>
      </c>
      <c r="Q248" s="71" t="str">
        <f t="shared" si="14"/>
        <v>2025-04</v>
      </c>
      <c r="R248" s="49">
        <f t="shared" si="15"/>
        <v>202504</v>
      </c>
    </row>
    <row r="249" spans="1:18" ht="15.75" customHeight="1">
      <c r="A249" s="69" t="s">
        <v>400</v>
      </c>
      <c r="B249" s="70">
        <v>45758</v>
      </c>
      <c r="C249" s="69" t="s">
        <v>297</v>
      </c>
      <c r="D249" s="69" t="s">
        <v>298</v>
      </c>
      <c r="E249" s="69" t="s">
        <v>84</v>
      </c>
      <c r="F249" s="69" t="s">
        <v>85</v>
      </c>
      <c r="G249" s="69" t="s">
        <v>23</v>
      </c>
      <c r="H249" s="69">
        <v>3</v>
      </c>
      <c r="I249" s="69">
        <v>699.99</v>
      </c>
      <c r="J249" s="69" t="s">
        <v>38</v>
      </c>
      <c r="K249" s="69" t="s">
        <v>44</v>
      </c>
      <c r="L249" s="69" t="s">
        <v>26</v>
      </c>
      <c r="M249" s="70">
        <v>44909</v>
      </c>
      <c r="N249" s="69">
        <v>2099.9699999999998</v>
      </c>
      <c r="O249" s="47">
        <f t="shared" ca="1" si="12"/>
        <v>1250</v>
      </c>
      <c r="P249" s="47">
        <f t="shared" ca="1" si="13"/>
        <v>401</v>
      </c>
      <c r="Q249" s="71" t="str">
        <f t="shared" si="14"/>
        <v>2025-04</v>
      </c>
      <c r="R249" s="49">
        <f t="shared" si="15"/>
        <v>202504</v>
      </c>
    </row>
    <row r="250" spans="1:18" ht="15.75" customHeight="1">
      <c r="A250" s="69" t="s">
        <v>401</v>
      </c>
      <c r="B250" s="70">
        <v>45758</v>
      </c>
      <c r="C250" s="69" t="s">
        <v>230</v>
      </c>
      <c r="D250" s="69" t="s">
        <v>231</v>
      </c>
      <c r="E250" s="69" t="s">
        <v>121</v>
      </c>
      <c r="F250" s="69" t="s">
        <v>122</v>
      </c>
      <c r="G250" s="69" t="s">
        <v>23</v>
      </c>
      <c r="H250" s="69">
        <v>2</v>
      </c>
      <c r="I250" s="69">
        <v>89.99</v>
      </c>
      <c r="J250" s="69" t="s">
        <v>61</v>
      </c>
      <c r="K250" s="69" t="s">
        <v>67</v>
      </c>
      <c r="L250" s="69" t="s">
        <v>26</v>
      </c>
      <c r="M250" s="70">
        <v>45088</v>
      </c>
      <c r="N250" s="69">
        <v>179.98</v>
      </c>
      <c r="O250" s="47">
        <f t="shared" ca="1" si="12"/>
        <v>1071</v>
      </c>
      <c r="P250" s="47">
        <f t="shared" ca="1" si="13"/>
        <v>401</v>
      </c>
      <c r="Q250" s="71" t="str">
        <f t="shared" si="14"/>
        <v>2025-04</v>
      </c>
      <c r="R250" s="49">
        <f t="shared" si="15"/>
        <v>202504</v>
      </c>
    </row>
    <row r="251" spans="1:18" ht="15.75" customHeight="1">
      <c r="A251" s="69" t="s">
        <v>402</v>
      </c>
      <c r="B251" s="70">
        <v>45758</v>
      </c>
      <c r="C251" s="69" t="s">
        <v>142</v>
      </c>
      <c r="D251" s="69" t="s">
        <v>143</v>
      </c>
      <c r="E251" s="69" t="s">
        <v>121</v>
      </c>
      <c r="F251" s="69" t="s">
        <v>122</v>
      </c>
      <c r="G251" s="69" t="s">
        <v>23</v>
      </c>
      <c r="H251" s="69">
        <v>3</v>
      </c>
      <c r="I251" s="69">
        <v>89.99</v>
      </c>
      <c r="J251" s="69" t="s">
        <v>61</v>
      </c>
      <c r="K251" s="69" t="s">
        <v>44</v>
      </c>
      <c r="L251" s="69" t="s">
        <v>31</v>
      </c>
      <c r="M251" s="70">
        <v>44878</v>
      </c>
      <c r="N251" s="69">
        <v>269.97000000000003</v>
      </c>
      <c r="O251" s="47">
        <f t="shared" ca="1" si="12"/>
        <v>1281</v>
      </c>
      <c r="P251" s="47">
        <f t="shared" ca="1" si="13"/>
        <v>401</v>
      </c>
      <c r="Q251" s="71" t="str">
        <f t="shared" si="14"/>
        <v>2025-04</v>
      </c>
      <c r="R251" s="49">
        <f t="shared" si="15"/>
        <v>202504</v>
      </c>
    </row>
    <row r="252" spans="1:18" ht="15.75" customHeight="1"/>
    <row r="253" spans="1:18" ht="15.75" customHeight="1"/>
    <row r="254" spans="1:18" ht="15.75" customHeight="1"/>
    <row r="255" spans="1:18" ht="15.75" customHeight="1"/>
    <row r="256" spans="1:1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Analysis</vt:lpstr>
      <vt:lpstr>what-if</vt:lpstr>
      <vt:lpstr>Scenario Summary</vt:lpstr>
      <vt:lpstr>Regression</vt:lpstr>
      <vt:lpstr>Visualizations</vt:lpstr>
      <vt:lpstr>Insights</vt:lpstr>
      <vt:lpstr>Raw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harshal vora</dc:creator>
  <cp:keywords/>
  <dc:description/>
  <cp:lastModifiedBy>pintu patel</cp:lastModifiedBy>
  <cp:revision/>
  <dcterms:created xsi:type="dcterms:W3CDTF">2026-05-09T12:04:43Z</dcterms:created>
  <dcterms:modified xsi:type="dcterms:W3CDTF">2026-05-17T09:13:45Z</dcterms:modified>
  <cp:category/>
  <cp:contentStatus/>
</cp:coreProperties>
</file>